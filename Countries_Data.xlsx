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KENYA_2022_ELECTIONS_ANALYSIS\DATA\"/>
    </mc:Choice>
  </mc:AlternateContent>
  <xr:revisionPtr revIDLastSave="0" documentId="13_ncr:1_{80D4FAD8-4AA8-4274-BE3F-085AD29ABED0}" xr6:coauthVersionLast="47" xr6:coauthVersionMax="47" xr10:uidLastSave="{00000000-0000-0000-0000-000000000000}"/>
  <bookViews>
    <workbookView xWindow="-120" yWindow="-120" windowWidth="20730" windowHeight="11160" firstSheet="3" activeTab="3" xr2:uid="{060CFCB5-A86B-437D-8DED-7476B783E939}"/>
  </bookViews>
  <sheets>
    <sheet name="counties" sheetId="1" r:id="rId1"/>
    <sheet name="Registered_Voters_by_Gender" sheetId="2" r:id="rId2"/>
    <sheet name="REGISTERED_VOTERS_BY_AGE" sheetId="5" r:id="rId3"/>
    <sheet name="presidential_vote_results" sheetId="6" r:id="rId4"/>
    <sheet name="Population_Per_County" sheetId="7" r:id="rId5"/>
  </sheets>
  <definedNames>
    <definedName name="_xlnm._FilterDatabase" localSheetId="4" hidden="1">Population_Per_County!#REF!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1" l="1"/>
  <c r="A49" i="1"/>
  <c r="A50" i="7"/>
  <c r="A49" i="7"/>
  <c r="A50" i="6"/>
  <c r="A49" i="6"/>
  <c r="A50" i="2"/>
  <c r="A49" i="2"/>
  <c r="H49" i="6"/>
  <c r="J49" i="6" s="1"/>
  <c r="H48" i="6"/>
  <c r="J48" i="6" s="1"/>
  <c r="J50" i="6"/>
  <c r="H2" i="6"/>
  <c r="J2" i="6" s="1"/>
  <c r="H3" i="6"/>
  <c r="J3" i="6" s="1"/>
  <c r="H4" i="6"/>
  <c r="J4" i="6" s="1"/>
  <c r="H5" i="6"/>
  <c r="J5" i="6" s="1"/>
  <c r="H6" i="6"/>
  <c r="J6" i="6" s="1"/>
  <c r="H7" i="6"/>
  <c r="J7" i="6" s="1"/>
  <c r="H8" i="6"/>
  <c r="J8" i="6" s="1"/>
  <c r="H9" i="6"/>
  <c r="J9" i="6" s="1"/>
  <c r="H10" i="6"/>
  <c r="J10" i="6" s="1"/>
  <c r="H11" i="6"/>
  <c r="J11" i="6" s="1"/>
  <c r="H12" i="6"/>
  <c r="J12" i="6" s="1"/>
  <c r="H13" i="6"/>
  <c r="J13" i="6" s="1"/>
  <c r="H14" i="6"/>
  <c r="J14" i="6" s="1"/>
  <c r="H15" i="6"/>
  <c r="J15" i="6" s="1"/>
  <c r="H16" i="6"/>
  <c r="J16" i="6" s="1"/>
  <c r="H17" i="6"/>
  <c r="J17" i="6" s="1"/>
  <c r="H18" i="6"/>
  <c r="J18" i="6" s="1"/>
  <c r="H19" i="6"/>
  <c r="J19" i="6" s="1"/>
  <c r="H20" i="6"/>
  <c r="J20" i="6" s="1"/>
  <c r="H21" i="6"/>
  <c r="J21" i="6" s="1"/>
  <c r="H22" i="6"/>
  <c r="J22" i="6" s="1"/>
  <c r="H23" i="6"/>
  <c r="J23" i="6" s="1"/>
  <c r="H24" i="6"/>
  <c r="J24" i="6" s="1"/>
  <c r="H25" i="6"/>
  <c r="J25" i="6" s="1"/>
  <c r="H26" i="6"/>
  <c r="J26" i="6" s="1"/>
  <c r="H27" i="6"/>
  <c r="J27" i="6" s="1"/>
  <c r="H28" i="6"/>
  <c r="J28" i="6" s="1"/>
  <c r="H29" i="6"/>
  <c r="J29" i="6" s="1"/>
  <c r="H30" i="6"/>
  <c r="J30" i="6" s="1"/>
  <c r="H31" i="6"/>
  <c r="J31" i="6" s="1"/>
  <c r="H32" i="6"/>
  <c r="J32" i="6" s="1"/>
  <c r="H33" i="6"/>
  <c r="J33" i="6" s="1"/>
  <c r="H34" i="6"/>
  <c r="J34" i="6" s="1"/>
  <c r="H35" i="6"/>
  <c r="J35" i="6" s="1"/>
  <c r="H36" i="6"/>
  <c r="J36" i="6" s="1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H45" i="6"/>
  <c r="J45" i="6" s="1"/>
  <c r="H46" i="6"/>
  <c r="J46" i="6" s="1"/>
  <c r="H47" i="6"/>
  <c r="J47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BADE9-75AE-4331-A4D8-A9DF35F8A547}" keepAlive="1" name="Query - presidential_results" description="Connection to the 'presidential_results' query in the workbook." type="5" refreshedVersion="8" background="1" saveData="1">
    <dbPr connection="Provider=Microsoft.Mashup.OleDb.1;Data Source=$Workbook$;Location=presidential_results;Extended Properties=&quot;&quot;" command="SELECT * FROM [presidential_results]"/>
  </connection>
</connections>
</file>

<file path=xl/sharedStrings.xml><?xml version="1.0" encoding="utf-8"?>
<sst xmlns="http://schemas.openxmlformats.org/spreadsheetml/2006/main" count="518" uniqueCount="119">
  <si>
    <t>001</t>
  </si>
  <si>
    <t>Mombasa</t>
  </si>
  <si>
    <t>002</t>
  </si>
  <si>
    <t>Kwale</t>
  </si>
  <si>
    <t>003</t>
  </si>
  <si>
    <t>Kilifi</t>
  </si>
  <si>
    <t>004</t>
  </si>
  <si>
    <t>Tana River</t>
  </si>
  <si>
    <t>005</t>
  </si>
  <si>
    <t>Lamu</t>
  </si>
  <si>
    <t>006</t>
  </si>
  <si>
    <t>Taita Taveta</t>
  </si>
  <si>
    <t>007</t>
  </si>
  <si>
    <t>Garissa</t>
  </si>
  <si>
    <t>008</t>
  </si>
  <si>
    <t>Wajir</t>
  </si>
  <si>
    <t>009</t>
  </si>
  <si>
    <t>Mandera</t>
  </si>
  <si>
    <t>010</t>
  </si>
  <si>
    <t>Marsabit</t>
  </si>
  <si>
    <t>011</t>
  </si>
  <si>
    <t>Isiolo</t>
  </si>
  <si>
    <t>012</t>
  </si>
  <si>
    <t>Meru</t>
  </si>
  <si>
    <t>013</t>
  </si>
  <si>
    <t>Tharaka-Nithi</t>
  </si>
  <si>
    <t>014</t>
  </si>
  <si>
    <t>Embu</t>
  </si>
  <si>
    <t>015</t>
  </si>
  <si>
    <t>Kitui</t>
  </si>
  <si>
    <t>016</t>
  </si>
  <si>
    <t>Machakos</t>
  </si>
  <si>
    <t>017</t>
  </si>
  <si>
    <t>Makueni</t>
  </si>
  <si>
    <t>018</t>
  </si>
  <si>
    <t>Nyandarua</t>
  </si>
  <si>
    <t>019</t>
  </si>
  <si>
    <t>Nyeri</t>
  </si>
  <si>
    <t>020</t>
  </si>
  <si>
    <t>Kirinyaga</t>
  </si>
  <si>
    <t>021</t>
  </si>
  <si>
    <t>Murang'a</t>
  </si>
  <si>
    <t>022</t>
  </si>
  <si>
    <t>Kiambu</t>
  </si>
  <si>
    <t>023</t>
  </si>
  <si>
    <t>Turkana</t>
  </si>
  <si>
    <t>024</t>
  </si>
  <si>
    <t>West Pokot</t>
  </si>
  <si>
    <t>025</t>
  </si>
  <si>
    <t>Samburu</t>
  </si>
  <si>
    <t>026</t>
  </si>
  <si>
    <t>Trans Nzoia</t>
  </si>
  <si>
    <t>027</t>
  </si>
  <si>
    <t>Uasin Gishu</t>
  </si>
  <si>
    <t>028</t>
  </si>
  <si>
    <t>029</t>
  </si>
  <si>
    <t>Nandi</t>
  </si>
  <si>
    <t>030</t>
  </si>
  <si>
    <t>Baringo</t>
  </si>
  <si>
    <t>031</t>
  </si>
  <si>
    <t>Laikipia</t>
  </si>
  <si>
    <t>032</t>
  </si>
  <si>
    <t>Nakuru</t>
  </si>
  <si>
    <t>033</t>
  </si>
  <si>
    <t>Narok</t>
  </si>
  <si>
    <t>034</t>
  </si>
  <si>
    <t>Kajiado</t>
  </si>
  <si>
    <t>035</t>
  </si>
  <si>
    <t>Kericho</t>
  </si>
  <si>
    <t>036</t>
  </si>
  <si>
    <t>Bomet</t>
  </si>
  <si>
    <t>037</t>
  </si>
  <si>
    <t>Kakamega</t>
  </si>
  <si>
    <t>038</t>
  </si>
  <si>
    <t>Vihiga</t>
  </si>
  <si>
    <t>039</t>
  </si>
  <si>
    <t>Bungoma</t>
  </si>
  <si>
    <t>040</t>
  </si>
  <si>
    <t>Busia</t>
  </si>
  <si>
    <t>041</t>
  </si>
  <si>
    <t>Siaya</t>
  </si>
  <si>
    <t>042</t>
  </si>
  <si>
    <t>Kisumu</t>
  </si>
  <si>
    <t>043</t>
  </si>
  <si>
    <t>Homa Bay</t>
  </si>
  <si>
    <t>044</t>
  </si>
  <si>
    <t>Migori</t>
  </si>
  <si>
    <t>045</t>
  </si>
  <si>
    <t>Kisii</t>
  </si>
  <si>
    <t>046</t>
  </si>
  <si>
    <t>Nyamira</t>
  </si>
  <si>
    <t>047</t>
  </si>
  <si>
    <t>Nairobi City</t>
  </si>
  <si>
    <t>COUNTY_CODE</t>
  </si>
  <si>
    <t>Male_Registered</t>
  </si>
  <si>
    <t>Female_Registered</t>
  </si>
  <si>
    <t>Total_Registered</t>
  </si>
  <si>
    <t>County_Code</t>
  </si>
  <si>
    <t>YOUTH(18-34)</t>
  </si>
  <si>
    <t>Middle_Age(35-54)</t>
  </si>
  <si>
    <t>Old_Age(55 AND ABOVE)</t>
  </si>
  <si>
    <t>COUNTY</t>
  </si>
  <si>
    <t>Raila Odinga</t>
  </si>
  <si>
    <t>William Ruto</t>
  </si>
  <si>
    <t>Spoilt/Rejected</t>
  </si>
  <si>
    <t>George Wajackoyah</t>
  </si>
  <si>
    <t>David Mwaure</t>
  </si>
  <si>
    <t>Elgeyo/Markwet</t>
  </si>
  <si>
    <t>Total_Male</t>
  </si>
  <si>
    <t>Total_Female</t>
  </si>
  <si>
    <t>Total_Intersex</t>
  </si>
  <si>
    <t>Total_Population</t>
  </si>
  <si>
    <t>Total_Votes</t>
  </si>
  <si>
    <t>Turn_Out_Rate</t>
  </si>
  <si>
    <t>Diaspora</t>
  </si>
  <si>
    <t>Prisons</t>
  </si>
  <si>
    <t>N/A</t>
  </si>
  <si>
    <t>048</t>
  </si>
  <si>
    <t>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</si>
</sst>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3E3C-7CDD-4C36-A2EF-FA68FEB15208}">
  <dimension ref="A1:B50"/>
  <sheetViews>
    <sheetView workbookViewId="0">
      <selection sqref="A1:XFD1"/>
    </sheetView>
  </sheetViews>
  <sheetFormatPr defaultRowHeight="15.75" x14ac:dyDescent="0.25"/>
  <cols>
    <col min="1" max="1" width="13.75" bestFit="1" customWidth="1"/>
    <col min="2" max="2" width="14.25" bestFit="1" customWidth="1"/>
  </cols>
  <sheetData>
    <row r="1" spans="1:2" x14ac:dyDescent="0.25">
      <c r="A1" t="s">
        <v>93</v>
      </c>
      <c r="B1" t="s">
        <v>101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107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tr">
        <f>TEXT("048","000")</f>
        <v>048</v>
      </c>
      <c r="B49" t="s">
        <v>114</v>
      </c>
    </row>
    <row r="50" spans="1:2" x14ac:dyDescent="0.25">
      <c r="A50" t="str">
        <f>TEXT("049","000")</f>
        <v>049</v>
      </c>
      <c r="B5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3205-EEF7-4B94-AFBB-84DB308DA985}">
  <dimension ref="A1:E50"/>
  <sheetViews>
    <sheetView workbookViewId="0">
      <selection sqref="A1:E1"/>
    </sheetView>
  </sheetViews>
  <sheetFormatPr defaultRowHeight="15.75" x14ac:dyDescent="0.25"/>
  <cols>
    <col min="1" max="1" width="13.75" bestFit="1" customWidth="1"/>
    <col min="2" max="3" width="14.25" bestFit="1" customWidth="1"/>
    <col min="4" max="4" width="16" bestFit="1" customWidth="1"/>
    <col min="5" max="5" width="14.125" bestFit="1" customWidth="1"/>
  </cols>
  <sheetData>
    <row r="1" spans="1:5" x14ac:dyDescent="0.25">
      <c r="A1" t="s">
        <v>93</v>
      </c>
      <c r="B1" t="s">
        <v>101</v>
      </c>
      <c r="C1" s="2" t="s">
        <v>94</v>
      </c>
      <c r="D1" s="2" t="s">
        <v>95</v>
      </c>
      <c r="E1" s="2" t="s">
        <v>96</v>
      </c>
    </row>
    <row r="2" spans="1:5" x14ac:dyDescent="0.25">
      <c r="A2" t="s">
        <v>0</v>
      </c>
      <c r="B2" t="s">
        <v>1</v>
      </c>
      <c r="C2" s="1">
        <v>353005</v>
      </c>
      <c r="D2" s="1">
        <v>288908</v>
      </c>
      <c r="E2" s="1">
        <v>641913</v>
      </c>
    </row>
    <row r="3" spans="1:5" x14ac:dyDescent="0.25">
      <c r="A3" t="s">
        <v>2</v>
      </c>
      <c r="B3" t="s">
        <v>3</v>
      </c>
      <c r="C3" s="1">
        <v>159734</v>
      </c>
      <c r="D3" s="1">
        <v>168519</v>
      </c>
      <c r="E3" s="1">
        <v>328253</v>
      </c>
    </row>
    <row r="4" spans="1:5" x14ac:dyDescent="0.25">
      <c r="A4" t="s">
        <v>4</v>
      </c>
      <c r="B4" t="s">
        <v>5</v>
      </c>
      <c r="C4" s="1">
        <v>282019</v>
      </c>
      <c r="D4" s="1">
        <v>306583</v>
      </c>
      <c r="E4" s="1">
        <v>588602</v>
      </c>
    </row>
    <row r="5" spans="1:5" x14ac:dyDescent="0.25">
      <c r="A5" t="s">
        <v>6</v>
      </c>
      <c r="B5" t="s">
        <v>7</v>
      </c>
      <c r="C5" s="1">
        <v>69878</v>
      </c>
      <c r="D5" s="1">
        <v>71218</v>
      </c>
      <c r="E5" s="1">
        <v>141096</v>
      </c>
    </row>
    <row r="6" spans="1:5" x14ac:dyDescent="0.25">
      <c r="A6" t="s">
        <v>8</v>
      </c>
      <c r="B6" t="s">
        <v>9</v>
      </c>
      <c r="C6" s="1">
        <v>43936</v>
      </c>
      <c r="D6" s="1">
        <v>37517</v>
      </c>
      <c r="E6" s="1">
        <v>81453</v>
      </c>
    </row>
    <row r="7" spans="1:5" x14ac:dyDescent="0.25">
      <c r="A7" t="s">
        <v>10</v>
      </c>
      <c r="B7" t="s">
        <v>11</v>
      </c>
      <c r="C7" s="1">
        <v>95492</v>
      </c>
      <c r="D7" s="1">
        <v>86335</v>
      </c>
      <c r="E7" s="1">
        <v>181827</v>
      </c>
    </row>
    <row r="8" spans="1:5" x14ac:dyDescent="0.25">
      <c r="A8" t="s">
        <v>12</v>
      </c>
      <c r="B8" t="s">
        <v>13</v>
      </c>
      <c r="C8" s="1">
        <v>107549</v>
      </c>
      <c r="D8" s="1">
        <v>93924</v>
      </c>
      <c r="E8" s="1">
        <v>201473</v>
      </c>
    </row>
    <row r="9" spans="1:5" x14ac:dyDescent="0.25">
      <c r="A9" t="s">
        <v>14</v>
      </c>
      <c r="B9" t="s">
        <v>15</v>
      </c>
      <c r="C9" s="1">
        <v>109998</v>
      </c>
      <c r="D9" s="1">
        <v>97760</v>
      </c>
      <c r="E9" s="1">
        <v>207758</v>
      </c>
    </row>
    <row r="10" spans="1:5" x14ac:dyDescent="0.25">
      <c r="A10" t="s">
        <v>16</v>
      </c>
      <c r="B10" t="s">
        <v>17</v>
      </c>
      <c r="C10" s="1">
        <v>111155</v>
      </c>
      <c r="D10" s="1">
        <v>105875</v>
      </c>
      <c r="E10" s="1">
        <v>217030</v>
      </c>
    </row>
    <row r="11" spans="1:5" x14ac:dyDescent="0.25">
      <c r="A11" t="s">
        <v>18</v>
      </c>
      <c r="B11" t="s">
        <v>19</v>
      </c>
      <c r="C11" s="1">
        <v>85118</v>
      </c>
      <c r="D11" s="1">
        <v>81794</v>
      </c>
      <c r="E11" s="1">
        <v>166912</v>
      </c>
    </row>
    <row r="12" spans="1:5" x14ac:dyDescent="0.25">
      <c r="A12" t="s">
        <v>20</v>
      </c>
      <c r="B12" t="s">
        <v>21</v>
      </c>
      <c r="C12" s="1">
        <v>45659</v>
      </c>
      <c r="D12" s="1">
        <v>43845</v>
      </c>
      <c r="E12" s="1">
        <v>89504</v>
      </c>
    </row>
    <row r="13" spans="1:5" x14ac:dyDescent="0.25">
      <c r="A13" t="s">
        <v>22</v>
      </c>
      <c r="B13" t="s">
        <v>23</v>
      </c>
      <c r="C13" s="1">
        <v>394751</v>
      </c>
      <c r="D13" s="1">
        <v>377388</v>
      </c>
      <c r="E13" s="1">
        <v>772139</v>
      </c>
    </row>
    <row r="14" spans="1:5" x14ac:dyDescent="0.25">
      <c r="A14" t="s">
        <v>24</v>
      </c>
      <c r="B14" t="s">
        <v>25</v>
      </c>
      <c r="C14" s="1">
        <v>117084</v>
      </c>
      <c r="D14" s="1">
        <v>114848</v>
      </c>
      <c r="E14" s="1">
        <v>231932</v>
      </c>
    </row>
    <row r="15" spans="1:5" x14ac:dyDescent="0.25">
      <c r="A15" t="s">
        <v>26</v>
      </c>
      <c r="B15" t="s">
        <v>27</v>
      </c>
      <c r="C15" s="1">
        <v>169291</v>
      </c>
      <c r="D15" s="1">
        <v>165011</v>
      </c>
      <c r="E15" s="1">
        <v>334302</v>
      </c>
    </row>
    <row r="16" spans="1:5" x14ac:dyDescent="0.25">
      <c r="A16" t="s">
        <v>28</v>
      </c>
      <c r="B16" t="s">
        <v>29</v>
      </c>
      <c r="C16" s="1">
        <v>256016</v>
      </c>
      <c r="D16" s="1">
        <v>276742</v>
      </c>
      <c r="E16" s="1">
        <v>532758</v>
      </c>
    </row>
    <row r="17" spans="1:5" x14ac:dyDescent="0.25">
      <c r="A17" t="s">
        <v>30</v>
      </c>
      <c r="B17" t="s">
        <v>31</v>
      </c>
      <c r="C17" s="1">
        <v>354868</v>
      </c>
      <c r="D17" s="1">
        <v>332697</v>
      </c>
      <c r="E17" s="1">
        <v>687565</v>
      </c>
    </row>
    <row r="18" spans="1:5" x14ac:dyDescent="0.25">
      <c r="A18" t="s">
        <v>32</v>
      </c>
      <c r="B18" t="s">
        <v>33</v>
      </c>
      <c r="C18" s="1">
        <v>242480</v>
      </c>
      <c r="D18" s="1">
        <v>236921</v>
      </c>
      <c r="E18" s="1">
        <v>479401</v>
      </c>
    </row>
    <row r="19" spans="1:5" x14ac:dyDescent="0.25">
      <c r="A19" t="s">
        <v>34</v>
      </c>
      <c r="B19" t="s">
        <v>35</v>
      </c>
      <c r="C19" s="1">
        <v>180798</v>
      </c>
      <c r="D19" s="1">
        <v>180367</v>
      </c>
      <c r="E19" s="1">
        <v>361165</v>
      </c>
    </row>
    <row r="20" spans="1:5" x14ac:dyDescent="0.25">
      <c r="A20" t="s">
        <v>36</v>
      </c>
      <c r="B20" t="s">
        <v>37</v>
      </c>
      <c r="C20" s="1">
        <v>240072</v>
      </c>
      <c r="D20" s="1">
        <v>241560</v>
      </c>
      <c r="E20" s="1">
        <v>481632</v>
      </c>
    </row>
    <row r="21" spans="1:5" x14ac:dyDescent="0.25">
      <c r="A21" t="s">
        <v>38</v>
      </c>
      <c r="B21" t="s">
        <v>39</v>
      </c>
      <c r="C21" s="1">
        <v>189787</v>
      </c>
      <c r="D21" s="1">
        <v>186214</v>
      </c>
      <c r="E21" s="1">
        <v>376001</v>
      </c>
    </row>
    <row r="22" spans="1:5" x14ac:dyDescent="0.25">
      <c r="A22" t="s">
        <v>40</v>
      </c>
      <c r="B22" t="s">
        <v>41</v>
      </c>
      <c r="C22" s="1">
        <v>311173</v>
      </c>
      <c r="D22" s="1">
        <v>309756</v>
      </c>
      <c r="E22" s="1">
        <v>620929</v>
      </c>
    </row>
    <row r="23" spans="1:5" x14ac:dyDescent="0.25">
      <c r="A23" t="s">
        <v>42</v>
      </c>
      <c r="B23" t="s">
        <v>43</v>
      </c>
      <c r="C23" s="1">
        <v>633475</v>
      </c>
      <c r="D23" s="1">
        <v>641533</v>
      </c>
      <c r="E23" s="1">
        <v>1275008</v>
      </c>
    </row>
    <row r="24" spans="1:5" x14ac:dyDescent="0.25">
      <c r="A24" t="s">
        <v>44</v>
      </c>
      <c r="B24" t="s">
        <v>45</v>
      </c>
      <c r="C24" s="1">
        <v>103208</v>
      </c>
      <c r="D24" s="1">
        <v>135320</v>
      </c>
      <c r="E24" s="1">
        <v>238528</v>
      </c>
    </row>
    <row r="25" spans="1:5" x14ac:dyDescent="0.25">
      <c r="A25" t="s">
        <v>46</v>
      </c>
      <c r="B25" t="s">
        <v>47</v>
      </c>
      <c r="C25" s="1">
        <v>107782</v>
      </c>
      <c r="D25" s="1">
        <v>112244</v>
      </c>
      <c r="E25" s="1">
        <v>220026</v>
      </c>
    </row>
    <row r="26" spans="1:5" x14ac:dyDescent="0.25">
      <c r="A26" t="s">
        <v>48</v>
      </c>
      <c r="B26" t="s">
        <v>49</v>
      </c>
      <c r="C26" s="1">
        <v>46232</v>
      </c>
      <c r="D26" s="1">
        <v>53782</v>
      </c>
      <c r="E26" s="1">
        <v>100014</v>
      </c>
    </row>
    <row r="27" spans="1:5" x14ac:dyDescent="0.25">
      <c r="A27" t="s">
        <v>50</v>
      </c>
      <c r="B27" t="s">
        <v>51</v>
      </c>
      <c r="C27" s="1">
        <v>210218</v>
      </c>
      <c r="D27" s="1">
        <v>188763</v>
      </c>
      <c r="E27" s="1">
        <v>398981</v>
      </c>
    </row>
    <row r="28" spans="1:5" x14ac:dyDescent="0.25">
      <c r="A28" t="s">
        <v>52</v>
      </c>
      <c r="B28" t="s">
        <v>53</v>
      </c>
      <c r="C28" s="1">
        <v>266337</v>
      </c>
      <c r="D28" s="1">
        <v>239801</v>
      </c>
      <c r="E28" s="1">
        <v>506138</v>
      </c>
    </row>
    <row r="29" spans="1:5" x14ac:dyDescent="0.25">
      <c r="A29" t="s">
        <v>54</v>
      </c>
      <c r="B29" t="s">
        <v>107</v>
      </c>
      <c r="C29" s="1">
        <v>110355</v>
      </c>
      <c r="D29" s="1">
        <v>103529</v>
      </c>
      <c r="E29" s="1">
        <v>213884</v>
      </c>
    </row>
    <row r="30" spans="1:5" x14ac:dyDescent="0.25">
      <c r="A30" t="s">
        <v>55</v>
      </c>
      <c r="B30" t="s">
        <v>56</v>
      </c>
      <c r="C30" s="1">
        <v>211665</v>
      </c>
      <c r="D30" s="1">
        <v>194623</v>
      </c>
      <c r="E30" s="1">
        <v>406288</v>
      </c>
    </row>
    <row r="31" spans="1:5" x14ac:dyDescent="0.25">
      <c r="A31" t="s">
        <v>57</v>
      </c>
      <c r="B31" t="s">
        <v>58</v>
      </c>
      <c r="C31" s="1">
        <v>141843</v>
      </c>
      <c r="D31" s="1">
        <v>139210</v>
      </c>
      <c r="E31" s="1">
        <v>281053</v>
      </c>
    </row>
    <row r="32" spans="1:5" x14ac:dyDescent="0.25">
      <c r="A32" t="s">
        <v>59</v>
      </c>
      <c r="B32" t="s">
        <v>60</v>
      </c>
      <c r="C32" s="1">
        <v>135266</v>
      </c>
      <c r="D32" s="1">
        <v>127746</v>
      </c>
      <c r="E32" s="1">
        <v>263012</v>
      </c>
    </row>
    <row r="33" spans="1:5" x14ac:dyDescent="0.25">
      <c r="A33" t="s">
        <v>61</v>
      </c>
      <c r="B33" t="s">
        <v>62</v>
      </c>
      <c r="C33" s="1">
        <v>542004</v>
      </c>
      <c r="D33" s="1">
        <v>512852</v>
      </c>
      <c r="E33" s="1">
        <v>1054856</v>
      </c>
    </row>
    <row r="34" spans="1:5" x14ac:dyDescent="0.25">
      <c r="A34" t="s">
        <v>63</v>
      </c>
      <c r="B34" t="s">
        <v>64</v>
      </c>
      <c r="C34" s="1">
        <v>207748</v>
      </c>
      <c r="D34" s="1">
        <v>191036</v>
      </c>
      <c r="E34" s="1">
        <v>398784</v>
      </c>
    </row>
    <row r="35" spans="1:5" x14ac:dyDescent="0.25">
      <c r="A35" t="s">
        <v>65</v>
      </c>
      <c r="B35" t="s">
        <v>66</v>
      </c>
      <c r="C35" s="1">
        <v>243125</v>
      </c>
      <c r="D35" s="1">
        <v>220148</v>
      </c>
      <c r="E35" s="1">
        <v>463273</v>
      </c>
    </row>
    <row r="36" spans="1:5" x14ac:dyDescent="0.25">
      <c r="A36" t="s">
        <v>67</v>
      </c>
      <c r="B36" t="s">
        <v>68</v>
      </c>
      <c r="C36" s="1">
        <v>222288</v>
      </c>
      <c r="D36" s="1">
        <v>205779</v>
      </c>
      <c r="E36" s="1">
        <v>428067</v>
      </c>
    </row>
    <row r="37" spans="1:5" x14ac:dyDescent="0.25">
      <c r="A37" t="s">
        <v>69</v>
      </c>
      <c r="B37" t="s">
        <v>70</v>
      </c>
      <c r="C37" s="1">
        <v>194507</v>
      </c>
      <c r="D37" s="1">
        <v>182478</v>
      </c>
      <c r="E37" s="1">
        <v>376985</v>
      </c>
    </row>
    <row r="38" spans="1:5" x14ac:dyDescent="0.25">
      <c r="A38" t="s">
        <v>71</v>
      </c>
      <c r="B38" t="s">
        <v>72</v>
      </c>
      <c r="C38" s="1">
        <v>420242</v>
      </c>
      <c r="D38" s="1">
        <v>424309</v>
      </c>
      <c r="E38" s="1">
        <v>844551</v>
      </c>
    </row>
    <row r="39" spans="1:5" x14ac:dyDescent="0.25">
      <c r="A39" t="s">
        <v>73</v>
      </c>
      <c r="B39" t="s">
        <v>74</v>
      </c>
      <c r="C39" s="1">
        <v>150668</v>
      </c>
      <c r="D39" s="1">
        <v>159375</v>
      </c>
      <c r="E39" s="1">
        <v>310043</v>
      </c>
    </row>
    <row r="40" spans="1:5" x14ac:dyDescent="0.25">
      <c r="A40" t="s">
        <v>75</v>
      </c>
      <c r="B40" t="s">
        <v>76</v>
      </c>
      <c r="C40" s="1">
        <v>330303</v>
      </c>
      <c r="D40" s="1">
        <v>316295</v>
      </c>
      <c r="E40" s="1">
        <v>646598</v>
      </c>
    </row>
    <row r="41" spans="1:5" x14ac:dyDescent="0.25">
      <c r="A41" t="s">
        <v>77</v>
      </c>
      <c r="B41" t="s">
        <v>78</v>
      </c>
      <c r="C41" s="1">
        <v>204960</v>
      </c>
      <c r="D41" s="1">
        <v>211796</v>
      </c>
      <c r="E41" s="1">
        <v>416756</v>
      </c>
    </row>
    <row r="42" spans="1:5" x14ac:dyDescent="0.25">
      <c r="A42" t="s">
        <v>79</v>
      </c>
      <c r="B42" t="s">
        <v>80</v>
      </c>
      <c r="C42" s="1">
        <v>250439</v>
      </c>
      <c r="D42" s="1">
        <v>283156</v>
      </c>
      <c r="E42" s="1">
        <v>533595</v>
      </c>
    </row>
    <row r="43" spans="1:5" x14ac:dyDescent="0.25">
      <c r="A43" t="s">
        <v>81</v>
      </c>
      <c r="B43" t="s">
        <v>82</v>
      </c>
      <c r="C43" s="1">
        <v>298805</v>
      </c>
      <c r="D43" s="1">
        <v>307949</v>
      </c>
      <c r="E43" s="1">
        <v>606754</v>
      </c>
    </row>
    <row r="44" spans="1:5" x14ac:dyDescent="0.25">
      <c r="A44" t="s">
        <v>83</v>
      </c>
      <c r="B44" t="s">
        <v>84</v>
      </c>
      <c r="C44" s="1">
        <v>261792</v>
      </c>
      <c r="D44" s="1">
        <v>289279</v>
      </c>
      <c r="E44" s="1">
        <v>551071</v>
      </c>
    </row>
    <row r="45" spans="1:5" x14ac:dyDescent="0.25">
      <c r="A45" t="s">
        <v>85</v>
      </c>
      <c r="B45" t="s">
        <v>86</v>
      </c>
      <c r="C45" s="1">
        <v>228856</v>
      </c>
      <c r="D45" s="1">
        <v>240163</v>
      </c>
      <c r="E45" s="1">
        <v>469019</v>
      </c>
    </row>
    <row r="46" spans="1:5" x14ac:dyDescent="0.25">
      <c r="A46" t="s">
        <v>87</v>
      </c>
      <c r="B46" t="s">
        <v>88</v>
      </c>
      <c r="C46" s="1">
        <v>320431</v>
      </c>
      <c r="D46" s="1">
        <v>316579</v>
      </c>
      <c r="E46" s="1">
        <v>637010</v>
      </c>
    </row>
    <row r="47" spans="1:5" x14ac:dyDescent="0.25">
      <c r="A47" t="s">
        <v>89</v>
      </c>
      <c r="B47" t="s">
        <v>90</v>
      </c>
      <c r="C47" s="1">
        <v>163206</v>
      </c>
      <c r="D47" s="1">
        <v>160077</v>
      </c>
      <c r="E47" s="1">
        <v>323283</v>
      </c>
    </row>
    <row r="48" spans="1:5" x14ac:dyDescent="0.25">
      <c r="A48" t="s">
        <v>91</v>
      </c>
      <c r="B48" t="s">
        <v>92</v>
      </c>
      <c r="C48" s="1">
        <v>1314649</v>
      </c>
      <c r="D48" s="1">
        <v>1100661</v>
      </c>
      <c r="E48" s="1">
        <v>2415310</v>
      </c>
    </row>
    <row r="49" spans="1:5" x14ac:dyDescent="0.25">
      <c r="A49" t="str">
        <f>TEXT("048","000")</f>
        <v>048</v>
      </c>
      <c r="B49" t="s">
        <v>114</v>
      </c>
      <c r="C49" s="1">
        <v>6697</v>
      </c>
      <c r="D49" s="1">
        <v>3746</v>
      </c>
      <c r="E49" s="1">
        <v>10443</v>
      </c>
    </row>
    <row r="50" spans="1:5" x14ac:dyDescent="0.25">
      <c r="A50" t="str">
        <f>TEXT("049","000")</f>
        <v>049</v>
      </c>
      <c r="B50" t="s">
        <v>115</v>
      </c>
      <c r="C50" s="1">
        <v>7075</v>
      </c>
      <c r="D50">
        <v>408</v>
      </c>
      <c r="E50" s="1">
        <v>7483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8B59-54E1-4E0D-9F79-8D378A20A21D}">
  <dimension ref="A1:F50"/>
  <sheetViews>
    <sheetView workbookViewId="0">
      <selection sqref="A1:F1"/>
    </sheetView>
  </sheetViews>
  <sheetFormatPr defaultRowHeight="15.75" x14ac:dyDescent="0.25"/>
  <cols>
    <col min="1" max="1" width="11.25" customWidth="1"/>
    <col min="2" max="2" width="14.25" bestFit="1" customWidth="1"/>
    <col min="3" max="3" width="11.75" bestFit="1" customWidth="1"/>
    <col min="4" max="4" width="15.875" bestFit="1" customWidth="1"/>
    <col min="5" max="5" width="20.375" bestFit="1" customWidth="1"/>
    <col min="6" max="6" width="14.125" bestFit="1" customWidth="1"/>
  </cols>
  <sheetData>
    <row r="1" spans="1:6" x14ac:dyDescent="0.25">
      <c r="A1" s="2" t="s">
        <v>97</v>
      </c>
      <c r="B1" t="s">
        <v>101</v>
      </c>
      <c r="C1" s="2" t="s">
        <v>98</v>
      </c>
      <c r="D1" s="2" t="s">
        <v>99</v>
      </c>
      <c r="E1" s="2" t="s">
        <v>100</v>
      </c>
      <c r="F1" s="2" t="s">
        <v>96</v>
      </c>
    </row>
    <row r="2" spans="1:6" x14ac:dyDescent="0.25">
      <c r="A2" t="s">
        <v>0</v>
      </c>
      <c r="B2" t="s">
        <v>1</v>
      </c>
      <c r="C2" s="1">
        <v>280004</v>
      </c>
      <c r="D2" s="1">
        <v>285816</v>
      </c>
      <c r="E2" s="1">
        <v>76093</v>
      </c>
      <c r="F2" s="1">
        <v>641913</v>
      </c>
    </row>
    <row r="3" spans="1:6" x14ac:dyDescent="0.25">
      <c r="A3" t="s">
        <v>2</v>
      </c>
      <c r="B3" t="s">
        <v>3</v>
      </c>
      <c r="C3" s="1">
        <v>124685</v>
      </c>
      <c r="D3" s="1">
        <v>134375</v>
      </c>
      <c r="E3" s="1">
        <v>69193</v>
      </c>
      <c r="F3" s="1">
        <v>328253</v>
      </c>
    </row>
    <row r="4" spans="1:6" x14ac:dyDescent="0.25">
      <c r="A4" t="s">
        <v>4</v>
      </c>
      <c r="B4" t="s">
        <v>5</v>
      </c>
      <c r="C4" s="1">
        <v>241019</v>
      </c>
      <c r="D4" s="1">
        <v>225230</v>
      </c>
      <c r="E4" s="1">
        <v>122353</v>
      </c>
      <c r="F4" s="1">
        <v>588602</v>
      </c>
    </row>
    <row r="5" spans="1:6" x14ac:dyDescent="0.25">
      <c r="A5" t="s">
        <v>6</v>
      </c>
      <c r="B5" t="s">
        <v>7</v>
      </c>
      <c r="C5" s="1">
        <v>63045</v>
      </c>
      <c r="D5" s="1">
        <v>49307</v>
      </c>
      <c r="E5" s="1">
        <v>28744</v>
      </c>
      <c r="F5" s="1">
        <v>141096</v>
      </c>
    </row>
    <row r="6" spans="1:6" x14ac:dyDescent="0.25">
      <c r="A6" t="s">
        <v>8</v>
      </c>
      <c r="B6" t="s">
        <v>9</v>
      </c>
      <c r="C6" s="1">
        <v>32984</v>
      </c>
      <c r="D6" s="1">
        <v>31638</v>
      </c>
      <c r="E6" s="1">
        <v>16831</v>
      </c>
      <c r="F6" s="1">
        <v>81453</v>
      </c>
    </row>
    <row r="7" spans="1:6" x14ac:dyDescent="0.25">
      <c r="A7" t="s">
        <v>10</v>
      </c>
      <c r="B7" t="s">
        <v>11</v>
      </c>
      <c r="C7" s="1">
        <v>66978</v>
      </c>
      <c r="D7" s="1">
        <v>70509</v>
      </c>
      <c r="E7" s="1">
        <v>44340</v>
      </c>
      <c r="F7" s="1">
        <v>181827</v>
      </c>
    </row>
    <row r="8" spans="1:6" x14ac:dyDescent="0.25">
      <c r="A8" t="s">
        <v>12</v>
      </c>
      <c r="B8" t="s">
        <v>13</v>
      </c>
      <c r="C8" s="1">
        <v>99232</v>
      </c>
      <c r="D8" s="1">
        <v>70339</v>
      </c>
      <c r="E8" s="1">
        <v>31902</v>
      </c>
      <c r="F8" s="1">
        <v>201473</v>
      </c>
    </row>
    <row r="9" spans="1:6" x14ac:dyDescent="0.25">
      <c r="A9" t="s">
        <v>14</v>
      </c>
      <c r="B9" t="s">
        <v>15</v>
      </c>
      <c r="C9" s="1">
        <v>106047</v>
      </c>
      <c r="D9" s="1">
        <v>65457</v>
      </c>
      <c r="E9" s="1">
        <v>36254</v>
      </c>
      <c r="F9" s="1">
        <v>207758</v>
      </c>
    </row>
    <row r="10" spans="1:6" x14ac:dyDescent="0.25">
      <c r="A10" t="s">
        <v>16</v>
      </c>
      <c r="B10" t="s">
        <v>17</v>
      </c>
      <c r="C10" s="1">
        <v>118414</v>
      </c>
      <c r="D10" s="1">
        <v>64378</v>
      </c>
      <c r="E10" s="1">
        <v>34238</v>
      </c>
      <c r="F10" s="1">
        <v>217030</v>
      </c>
    </row>
    <row r="11" spans="1:6" x14ac:dyDescent="0.25">
      <c r="A11" t="s">
        <v>18</v>
      </c>
      <c r="B11" t="s">
        <v>19</v>
      </c>
      <c r="C11" s="1">
        <v>75151</v>
      </c>
      <c r="D11" s="1">
        <v>55998</v>
      </c>
      <c r="E11" s="1">
        <v>35763</v>
      </c>
      <c r="F11" s="1">
        <v>166912</v>
      </c>
    </row>
    <row r="12" spans="1:6" x14ac:dyDescent="0.25">
      <c r="A12" t="s">
        <v>20</v>
      </c>
      <c r="B12" t="s">
        <v>21</v>
      </c>
      <c r="C12" s="1">
        <v>36270</v>
      </c>
      <c r="D12" s="1">
        <v>33704</v>
      </c>
      <c r="E12" s="1">
        <v>19530</v>
      </c>
      <c r="F12" s="1">
        <v>89504</v>
      </c>
    </row>
    <row r="13" spans="1:6" x14ac:dyDescent="0.25">
      <c r="A13" t="s">
        <v>22</v>
      </c>
      <c r="B13" t="s">
        <v>23</v>
      </c>
      <c r="C13" s="1">
        <v>272835</v>
      </c>
      <c r="D13" s="1">
        <v>323754</v>
      </c>
      <c r="E13" s="1">
        <v>175550</v>
      </c>
      <c r="F13" s="1">
        <v>772139</v>
      </c>
    </row>
    <row r="14" spans="1:6" x14ac:dyDescent="0.25">
      <c r="A14" t="s">
        <v>24</v>
      </c>
      <c r="B14" t="s">
        <v>25</v>
      </c>
      <c r="C14" s="1">
        <v>81700</v>
      </c>
      <c r="D14" s="1">
        <v>90925</v>
      </c>
      <c r="E14" s="1">
        <v>59307</v>
      </c>
      <c r="F14" s="1">
        <v>231932</v>
      </c>
    </row>
    <row r="15" spans="1:6" x14ac:dyDescent="0.25">
      <c r="A15" t="s">
        <v>26</v>
      </c>
      <c r="B15" t="s">
        <v>27</v>
      </c>
      <c r="C15" s="1">
        <v>111991</v>
      </c>
      <c r="D15" s="1">
        <v>136698</v>
      </c>
      <c r="E15" s="1">
        <v>85613</v>
      </c>
      <c r="F15" s="1">
        <v>334302</v>
      </c>
    </row>
    <row r="16" spans="1:6" x14ac:dyDescent="0.25">
      <c r="A16" t="s">
        <v>28</v>
      </c>
      <c r="B16" t="s">
        <v>29</v>
      </c>
      <c r="C16" s="1">
        <v>182671</v>
      </c>
      <c r="D16" s="1">
        <v>207439</v>
      </c>
      <c r="E16" s="1">
        <v>142648</v>
      </c>
      <c r="F16" s="1">
        <v>532758</v>
      </c>
    </row>
    <row r="17" spans="1:6" x14ac:dyDescent="0.25">
      <c r="A17" t="s">
        <v>30</v>
      </c>
      <c r="B17" t="s">
        <v>31</v>
      </c>
      <c r="C17" s="1">
        <v>236469</v>
      </c>
      <c r="D17" s="1">
        <v>281575</v>
      </c>
      <c r="E17" s="1">
        <v>169521</v>
      </c>
      <c r="F17" s="1">
        <v>687565</v>
      </c>
    </row>
    <row r="18" spans="1:6" x14ac:dyDescent="0.25">
      <c r="A18" t="s">
        <v>32</v>
      </c>
      <c r="B18" t="s">
        <v>33</v>
      </c>
      <c r="C18" s="1">
        <v>159825</v>
      </c>
      <c r="D18" s="1">
        <v>187669</v>
      </c>
      <c r="E18" s="1">
        <v>131907</v>
      </c>
      <c r="F18" s="1">
        <v>479401</v>
      </c>
    </row>
    <row r="19" spans="1:6" x14ac:dyDescent="0.25">
      <c r="A19" t="s">
        <v>34</v>
      </c>
      <c r="B19" t="s">
        <v>35</v>
      </c>
      <c r="C19" s="1">
        <v>128559</v>
      </c>
      <c r="D19" s="1">
        <v>144524</v>
      </c>
      <c r="E19" s="1">
        <v>88082</v>
      </c>
      <c r="F19" s="1">
        <v>361165</v>
      </c>
    </row>
    <row r="20" spans="1:6" x14ac:dyDescent="0.25">
      <c r="A20" t="s">
        <v>36</v>
      </c>
      <c r="B20" t="s">
        <v>37</v>
      </c>
      <c r="C20" s="1">
        <v>152672</v>
      </c>
      <c r="D20" s="1">
        <v>191835</v>
      </c>
      <c r="E20" s="1">
        <v>137125</v>
      </c>
      <c r="F20" s="1">
        <v>481632</v>
      </c>
    </row>
    <row r="21" spans="1:6" x14ac:dyDescent="0.25">
      <c r="A21" t="s">
        <v>38</v>
      </c>
      <c r="B21" t="s">
        <v>39</v>
      </c>
      <c r="C21" s="1">
        <v>116241</v>
      </c>
      <c r="D21" s="1">
        <v>165194</v>
      </c>
      <c r="E21" s="1">
        <v>94566</v>
      </c>
      <c r="F21" s="1">
        <v>376001</v>
      </c>
    </row>
    <row r="22" spans="1:6" x14ac:dyDescent="0.25">
      <c r="A22" t="s">
        <v>40</v>
      </c>
      <c r="B22" t="s">
        <v>41</v>
      </c>
      <c r="C22" s="1">
        <v>195973</v>
      </c>
      <c r="D22" s="1">
        <v>239079</v>
      </c>
      <c r="E22" s="1">
        <v>185877</v>
      </c>
      <c r="F22" s="1">
        <v>620929</v>
      </c>
    </row>
    <row r="23" spans="1:6" x14ac:dyDescent="0.25">
      <c r="A23" t="s">
        <v>42</v>
      </c>
      <c r="B23" t="s">
        <v>43</v>
      </c>
      <c r="C23" s="1">
        <v>507157</v>
      </c>
      <c r="D23" s="1">
        <v>539997</v>
      </c>
      <c r="E23" s="1">
        <v>227854</v>
      </c>
      <c r="F23" s="1">
        <v>1275008</v>
      </c>
    </row>
    <row r="24" spans="1:6" x14ac:dyDescent="0.25">
      <c r="A24" t="s">
        <v>44</v>
      </c>
      <c r="B24" t="s">
        <v>45</v>
      </c>
      <c r="C24" s="1">
        <v>93621</v>
      </c>
      <c r="D24" s="1">
        <v>90122</v>
      </c>
      <c r="E24" s="1">
        <v>54785</v>
      </c>
      <c r="F24" s="1">
        <v>238528</v>
      </c>
    </row>
    <row r="25" spans="1:6" x14ac:dyDescent="0.25">
      <c r="A25" t="s">
        <v>46</v>
      </c>
      <c r="B25" t="s">
        <v>47</v>
      </c>
      <c r="C25" s="1">
        <v>100578</v>
      </c>
      <c r="D25" s="1">
        <v>80327</v>
      </c>
      <c r="E25" s="1">
        <v>39121</v>
      </c>
      <c r="F25" s="1">
        <v>220026</v>
      </c>
    </row>
    <row r="26" spans="1:6" x14ac:dyDescent="0.25">
      <c r="A26" t="s">
        <v>48</v>
      </c>
      <c r="B26" t="s">
        <v>49</v>
      </c>
      <c r="C26" s="1">
        <v>43603</v>
      </c>
      <c r="D26" s="1">
        <v>35718</v>
      </c>
      <c r="E26" s="1">
        <v>20693</v>
      </c>
      <c r="F26" s="1">
        <v>100014</v>
      </c>
    </row>
    <row r="27" spans="1:6" x14ac:dyDescent="0.25">
      <c r="A27" t="s">
        <v>50</v>
      </c>
      <c r="B27" t="s">
        <v>51</v>
      </c>
      <c r="C27" s="1">
        <v>162903</v>
      </c>
      <c r="D27" s="1">
        <v>152069</v>
      </c>
      <c r="E27" s="1">
        <v>84009</v>
      </c>
      <c r="F27" s="1">
        <v>398981</v>
      </c>
    </row>
    <row r="28" spans="1:6" x14ac:dyDescent="0.25">
      <c r="A28" t="s">
        <v>52</v>
      </c>
      <c r="B28" t="s">
        <v>53</v>
      </c>
      <c r="C28" s="1">
        <v>217050</v>
      </c>
      <c r="D28" s="1">
        <v>203968</v>
      </c>
      <c r="E28" s="1">
        <v>85120</v>
      </c>
      <c r="F28" s="1">
        <v>506138</v>
      </c>
    </row>
    <row r="29" spans="1:6" x14ac:dyDescent="0.25">
      <c r="A29" t="s">
        <v>54</v>
      </c>
      <c r="B29" t="s">
        <v>107</v>
      </c>
      <c r="C29" s="1">
        <v>97194</v>
      </c>
      <c r="D29" s="1">
        <v>74653</v>
      </c>
      <c r="E29" s="1">
        <v>42037</v>
      </c>
      <c r="F29" s="1">
        <v>213884</v>
      </c>
    </row>
    <row r="30" spans="1:6" x14ac:dyDescent="0.25">
      <c r="A30" t="s">
        <v>55</v>
      </c>
      <c r="B30" t="s">
        <v>56</v>
      </c>
      <c r="C30" s="1">
        <v>174430</v>
      </c>
      <c r="D30" s="1">
        <v>150687</v>
      </c>
      <c r="E30" s="1">
        <v>81171</v>
      </c>
      <c r="F30" s="1">
        <v>406288</v>
      </c>
    </row>
    <row r="31" spans="1:6" x14ac:dyDescent="0.25">
      <c r="A31" t="s">
        <v>57</v>
      </c>
      <c r="B31" t="s">
        <v>58</v>
      </c>
      <c r="C31" s="1">
        <v>131549</v>
      </c>
      <c r="D31" s="1">
        <v>90998</v>
      </c>
      <c r="E31" s="1">
        <v>58506</v>
      </c>
      <c r="F31" s="1">
        <v>281053</v>
      </c>
    </row>
    <row r="32" spans="1:6" x14ac:dyDescent="0.25">
      <c r="A32" t="s">
        <v>59</v>
      </c>
      <c r="B32" t="s">
        <v>60</v>
      </c>
      <c r="C32" s="1">
        <v>94585</v>
      </c>
      <c r="D32" s="1">
        <v>108217</v>
      </c>
      <c r="E32" s="1">
        <v>60210</v>
      </c>
      <c r="F32" s="1">
        <v>263012</v>
      </c>
    </row>
    <row r="33" spans="1:6" x14ac:dyDescent="0.25">
      <c r="A33" t="s">
        <v>61</v>
      </c>
      <c r="B33" t="s">
        <v>62</v>
      </c>
      <c r="C33" s="1">
        <v>437682</v>
      </c>
      <c r="D33" s="1">
        <v>430557</v>
      </c>
      <c r="E33" s="1">
        <v>186617</v>
      </c>
      <c r="F33" s="1">
        <v>1054856</v>
      </c>
    </row>
    <row r="34" spans="1:6" x14ac:dyDescent="0.25">
      <c r="A34" t="s">
        <v>63</v>
      </c>
      <c r="B34" t="s">
        <v>64</v>
      </c>
      <c r="C34" s="1">
        <v>176706</v>
      </c>
      <c r="D34" s="1">
        <v>154958</v>
      </c>
      <c r="E34" s="1">
        <v>67120</v>
      </c>
      <c r="F34" s="1">
        <v>398784</v>
      </c>
    </row>
    <row r="35" spans="1:6" x14ac:dyDescent="0.25">
      <c r="A35" t="s">
        <v>65</v>
      </c>
      <c r="B35" t="s">
        <v>66</v>
      </c>
      <c r="C35" s="1">
        <v>198302</v>
      </c>
      <c r="D35" s="1">
        <v>198554</v>
      </c>
      <c r="E35" s="1">
        <v>66417</v>
      </c>
      <c r="F35" s="1">
        <v>463273</v>
      </c>
    </row>
    <row r="36" spans="1:6" x14ac:dyDescent="0.25">
      <c r="A36" t="s">
        <v>67</v>
      </c>
      <c r="B36" t="s">
        <v>68</v>
      </c>
      <c r="C36" s="1">
        <v>189512</v>
      </c>
      <c r="D36" s="1">
        <v>159489</v>
      </c>
      <c r="E36" s="1">
        <v>79066</v>
      </c>
      <c r="F36" s="1">
        <v>428067</v>
      </c>
    </row>
    <row r="37" spans="1:6" x14ac:dyDescent="0.25">
      <c r="A37" t="s">
        <v>69</v>
      </c>
      <c r="B37" t="s">
        <v>70</v>
      </c>
      <c r="C37" s="1">
        <v>165404</v>
      </c>
      <c r="D37" s="1">
        <v>140998</v>
      </c>
      <c r="E37" s="1">
        <v>70583</v>
      </c>
      <c r="F37" s="1">
        <v>376985</v>
      </c>
    </row>
    <row r="38" spans="1:6" x14ac:dyDescent="0.25">
      <c r="A38" t="s">
        <v>71</v>
      </c>
      <c r="B38" t="s">
        <v>72</v>
      </c>
      <c r="C38" s="1">
        <v>333534</v>
      </c>
      <c r="D38" s="1">
        <v>307744</v>
      </c>
      <c r="E38" s="1">
        <v>203273</v>
      </c>
      <c r="F38" s="1">
        <v>844551</v>
      </c>
    </row>
    <row r="39" spans="1:6" x14ac:dyDescent="0.25">
      <c r="A39" t="s">
        <v>73</v>
      </c>
      <c r="B39" t="s">
        <v>74</v>
      </c>
      <c r="C39" s="1">
        <v>111559</v>
      </c>
      <c r="D39" s="1">
        <v>102500</v>
      </c>
      <c r="E39" s="1">
        <v>95984</v>
      </c>
      <c r="F39" s="1">
        <v>310043</v>
      </c>
    </row>
    <row r="40" spans="1:6" x14ac:dyDescent="0.25">
      <c r="A40" t="s">
        <v>75</v>
      </c>
      <c r="B40" t="s">
        <v>76</v>
      </c>
      <c r="C40" s="1">
        <v>281220</v>
      </c>
      <c r="D40" s="1">
        <v>222195</v>
      </c>
      <c r="E40" s="1">
        <v>143183</v>
      </c>
      <c r="F40" s="1">
        <v>646598</v>
      </c>
    </row>
    <row r="41" spans="1:6" x14ac:dyDescent="0.25">
      <c r="A41" t="s">
        <v>77</v>
      </c>
      <c r="B41" t="s">
        <v>78</v>
      </c>
      <c r="C41" s="1">
        <v>181542</v>
      </c>
      <c r="D41" s="1">
        <v>140252</v>
      </c>
      <c r="E41" s="1">
        <v>94962</v>
      </c>
      <c r="F41" s="1">
        <v>416756</v>
      </c>
    </row>
    <row r="42" spans="1:6" x14ac:dyDescent="0.25">
      <c r="A42" t="s">
        <v>79</v>
      </c>
      <c r="B42" t="s">
        <v>80</v>
      </c>
      <c r="C42" s="1">
        <v>224542</v>
      </c>
      <c r="D42" s="1">
        <v>172757</v>
      </c>
      <c r="E42" s="1">
        <v>136296</v>
      </c>
      <c r="F42" s="1">
        <v>533595</v>
      </c>
    </row>
    <row r="43" spans="1:6" x14ac:dyDescent="0.25">
      <c r="A43" t="s">
        <v>81</v>
      </c>
      <c r="B43" t="s">
        <v>82</v>
      </c>
      <c r="C43" s="1">
        <v>282850</v>
      </c>
      <c r="D43" s="1">
        <v>212221</v>
      </c>
      <c r="E43" s="1">
        <v>111683</v>
      </c>
      <c r="F43" s="1">
        <v>606754</v>
      </c>
    </row>
    <row r="44" spans="1:6" x14ac:dyDescent="0.25">
      <c r="A44" t="s">
        <v>83</v>
      </c>
      <c r="B44" t="s">
        <v>84</v>
      </c>
      <c r="C44" s="1">
        <v>254343</v>
      </c>
      <c r="D44" s="1">
        <v>178414</v>
      </c>
      <c r="E44" s="1">
        <v>118314</v>
      </c>
      <c r="F44" s="1">
        <v>551071</v>
      </c>
    </row>
    <row r="45" spans="1:6" x14ac:dyDescent="0.25">
      <c r="A45" t="s">
        <v>85</v>
      </c>
      <c r="B45" t="s">
        <v>86</v>
      </c>
      <c r="C45" s="1">
        <v>222493</v>
      </c>
      <c r="D45" s="1">
        <v>157129</v>
      </c>
      <c r="E45" s="1">
        <v>89397</v>
      </c>
      <c r="F45" s="1">
        <v>469019</v>
      </c>
    </row>
    <row r="46" spans="1:6" x14ac:dyDescent="0.25">
      <c r="A46" t="s">
        <v>87</v>
      </c>
      <c r="B46" t="s">
        <v>88</v>
      </c>
      <c r="C46" s="1">
        <v>262652</v>
      </c>
      <c r="D46" s="1">
        <v>231508</v>
      </c>
      <c r="E46" s="1">
        <v>142850</v>
      </c>
      <c r="F46" s="1">
        <v>637010</v>
      </c>
    </row>
    <row r="47" spans="1:6" x14ac:dyDescent="0.25">
      <c r="A47" t="s">
        <v>89</v>
      </c>
      <c r="B47" t="s">
        <v>90</v>
      </c>
      <c r="C47" s="1">
        <v>125116</v>
      </c>
      <c r="D47" s="1">
        <v>122522</v>
      </c>
      <c r="E47" s="1">
        <v>75645</v>
      </c>
      <c r="F47" s="1">
        <v>323283</v>
      </c>
    </row>
    <row r="48" spans="1:6" x14ac:dyDescent="0.25">
      <c r="A48" t="s">
        <v>91</v>
      </c>
      <c r="B48" t="s">
        <v>92</v>
      </c>
      <c r="C48" s="1">
        <v>1069633</v>
      </c>
      <c r="D48" s="1">
        <v>1107661</v>
      </c>
      <c r="E48" s="1">
        <v>238016</v>
      </c>
      <c r="F48" s="1">
        <v>2415310</v>
      </c>
    </row>
    <row r="49" spans="1:6" x14ac:dyDescent="0.25">
      <c r="A49" t="s">
        <v>117</v>
      </c>
      <c r="B49" t="s">
        <v>114</v>
      </c>
      <c r="C49" s="1">
        <v>2587</v>
      </c>
      <c r="D49">
        <v>6568</v>
      </c>
      <c r="E49">
        <v>1288</v>
      </c>
      <c r="F49" s="1">
        <v>10443</v>
      </c>
    </row>
    <row r="50" spans="1:6" x14ac:dyDescent="0.25">
      <c r="A50" t="s">
        <v>118</v>
      </c>
      <c r="B50" t="s">
        <v>115</v>
      </c>
      <c r="C50" s="1">
        <v>2406</v>
      </c>
      <c r="D50">
        <v>4243</v>
      </c>
      <c r="E50">
        <v>834</v>
      </c>
      <c r="F50" s="1">
        <v>7483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79FE-EB20-4482-BFE1-89DDB8A3BE03}">
  <dimension ref="A1:J50"/>
  <sheetViews>
    <sheetView tabSelected="1" zoomScale="70" zoomScaleNormal="70" workbookViewId="0">
      <selection activeCell="K1" sqref="K1:K1048576"/>
    </sheetView>
  </sheetViews>
  <sheetFormatPr defaultRowHeight="15.75" x14ac:dyDescent="0.25"/>
  <cols>
    <col min="1" max="1" width="11.625" bestFit="1" customWidth="1"/>
    <col min="2" max="2" width="14.25" bestFit="1" customWidth="1"/>
    <col min="3" max="4" width="13.375" bestFit="1" customWidth="1"/>
    <col min="5" max="5" width="15.375" bestFit="1" customWidth="1"/>
    <col min="6" max="6" width="19.375" bestFit="1" customWidth="1"/>
    <col min="7" max="7" width="14.625" bestFit="1" customWidth="1"/>
    <col min="8" max="8" width="12.625" bestFit="1" customWidth="1"/>
    <col min="9" max="9" width="14.125" bestFit="1" customWidth="1"/>
    <col min="10" max="10" width="15.375" bestFit="1" customWidth="1"/>
  </cols>
  <sheetData>
    <row r="1" spans="1:10" x14ac:dyDescent="0.25">
      <c r="A1" t="s">
        <v>97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112</v>
      </c>
      <c r="I1" s="2" t="s">
        <v>96</v>
      </c>
      <c r="J1" t="s">
        <v>113</v>
      </c>
    </row>
    <row r="2" spans="1:10" x14ac:dyDescent="0.25">
      <c r="A2" t="s">
        <v>0</v>
      </c>
      <c r="B2" t="s">
        <v>1</v>
      </c>
      <c r="C2">
        <v>160948</v>
      </c>
      <c r="D2">
        <v>113668</v>
      </c>
      <c r="E2">
        <v>3792</v>
      </c>
      <c r="F2">
        <v>2107</v>
      </c>
      <c r="G2">
        <v>483</v>
      </c>
      <c r="H2">
        <f>SUM(presidential_vote_results!$C2,presidential_vote_results!$D2,presidential_vote_results!$E2,presidential_vote_results!$F2,presidential_vote_results!$G2)</f>
        <v>280998</v>
      </c>
      <c r="I2" s="1">
        <v>641913</v>
      </c>
      <c r="J2">
        <f>ROUND((H2/I2)*100,2)</f>
        <v>43.78</v>
      </c>
    </row>
    <row r="3" spans="1:10" x14ac:dyDescent="0.25">
      <c r="A3" t="s">
        <v>2</v>
      </c>
      <c r="B3" t="s">
        <v>3</v>
      </c>
      <c r="C3">
        <v>125617</v>
      </c>
      <c r="D3">
        <v>51908</v>
      </c>
      <c r="E3">
        <v>1008</v>
      </c>
      <c r="F3">
        <v>1137</v>
      </c>
      <c r="G3">
        <v>414</v>
      </c>
      <c r="H3">
        <f>SUM(presidential_vote_results!$C3,presidential_vote_results!$D3,presidential_vote_results!$E3,presidential_vote_results!$F3,presidential_vote_results!$G3)</f>
        <v>180084</v>
      </c>
      <c r="I3" s="1">
        <v>328253</v>
      </c>
      <c r="J3">
        <f t="shared" ref="J3:J50" si="0">ROUND((H3/I3)*100,2)</f>
        <v>54.86</v>
      </c>
    </row>
    <row r="4" spans="1:10" x14ac:dyDescent="0.25">
      <c r="A4" t="s">
        <v>4</v>
      </c>
      <c r="B4" t="s">
        <v>5</v>
      </c>
      <c r="C4">
        <v>164850</v>
      </c>
      <c r="D4">
        <v>64341</v>
      </c>
      <c r="E4">
        <v>2495</v>
      </c>
      <c r="F4">
        <v>1897</v>
      </c>
      <c r="G4">
        <v>1104</v>
      </c>
      <c r="H4">
        <f>SUM(presidential_vote_results!$C4,presidential_vote_results!$D4,presidential_vote_results!$E4,presidential_vote_results!$F4,presidential_vote_results!$G4)</f>
        <v>234687</v>
      </c>
      <c r="I4" s="1">
        <v>588602</v>
      </c>
      <c r="J4">
        <f t="shared" si="0"/>
        <v>39.869999999999997</v>
      </c>
    </row>
    <row r="5" spans="1:10" x14ac:dyDescent="0.25">
      <c r="A5" t="s">
        <v>6</v>
      </c>
      <c r="B5" t="s">
        <v>7</v>
      </c>
      <c r="C5">
        <v>51432</v>
      </c>
      <c r="D5">
        <v>41526</v>
      </c>
      <c r="E5">
        <v>1070</v>
      </c>
      <c r="F5">
        <v>430</v>
      </c>
      <c r="G5">
        <v>198</v>
      </c>
      <c r="H5">
        <f>SUM(presidential_vote_results!$C5,presidential_vote_results!$D5,presidential_vote_results!$E5,presidential_vote_results!$F5,presidential_vote_results!$G5)</f>
        <v>94656</v>
      </c>
      <c r="I5" s="1">
        <v>141096</v>
      </c>
      <c r="J5">
        <f t="shared" si="0"/>
        <v>67.09</v>
      </c>
    </row>
    <row r="6" spans="1:10" x14ac:dyDescent="0.25">
      <c r="A6" t="s">
        <v>8</v>
      </c>
      <c r="B6" t="s">
        <v>9</v>
      </c>
      <c r="C6">
        <v>26162</v>
      </c>
      <c r="D6">
        <v>22876</v>
      </c>
      <c r="E6">
        <v>887</v>
      </c>
      <c r="F6">
        <v>848</v>
      </c>
      <c r="G6">
        <v>186</v>
      </c>
      <c r="H6">
        <f>SUM(presidential_vote_results!$C6,presidential_vote_results!$D6,presidential_vote_results!$E6,presidential_vote_results!$F6,presidential_vote_results!$G6)</f>
        <v>50959</v>
      </c>
      <c r="I6" s="1">
        <v>81453</v>
      </c>
      <c r="J6">
        <f t="shared" si="0"/>
        <v>62.56</v>
      </c>
    </row>
    <row r="7" spans="1:10" x14ac:dyDescent="0.25">
      <c r="A7" t="s">
        <v>10</v>
      </c>
      <c r="B7" t="s">
        <v>11</v>
      </c>
      <c r="C7">
        <v>58319</v>
      </c>
      <c r="D7">
        <v>17009</v>
      </c>
      <c r="E7">
        <v>641</v>
      </c>
      <c r="F7">
        <v>567</v>
      </c>
      <c r="G7">
        <v>171</v>
      </c>
      <c r="H7">
        <f>SUM(presidential_vote_results!$C7,presidential_vote_results!$D7,presidential_vote_results!$E7,presidential_vote_results!$F7,presidential_vote_results!$G7)</f>
        <v>76707</v>
      </c>
      <c r="I7" s="1">
        <v>181827</v>
      </c>
      <c r="J7">
        <f t="shared" si="0"/>
        <v>42.19</v>
      </c>
    </row>
    <row r="8" spans="1:10" x14ac:dyDescent="0.25">
      <c r="A8" t="s">
        <v>12</v>
      </c>
      <c r="B8" t="s">
        <v>13</v>
      </c>
      <c r="C8">
        <v>75870</v>
      </c>
      <c r="D8">
        <v>19718</v>
      </c>
      <c r="E8">
        <v>526</v>
      </c>
      <c r="F8">
        <v>370</v>
      </c>
      <c r="G8">
        <v>58</v>
      </c>
      <c r="H8">
        <f>SUM(presidential_vote_results!$C8,presidential_vote_results!$D8,presidential_vote_results!$E8,presidential_vote_results!$F8,presidential_vote_results!$G8)</f>
        <v>96542</v>
      </c>
      <c r="I8" s="1">
        <v>201473</v>
      </c>
      <c r="J8">
        <f t="shared" si="0"/>
        <v>47.92</v>
      </c>
    </row>
    <row r="9" spans="1:10" x14ac:dyDescent="0.25">
      <c r="A9" t="s">
        <v>14</v>
      </c>
      <c r="B9" t="s">
        <v>15</v>
      </c>
      <c r="C9">
        <v>82825</v>
      </c>
      <c r="D9">
        <v>48438</v>
      </c>
      <c r="E9">
        <v>950</v>
      </c>
      <c r="F9">
        <v>617</v>
      </c>
      <c r="G9">
        <v>215</v>
      </c>
      <c r="H9">
        <f>SUM(presidential_vote_results!$C9,presidential_vote_results!$D9,presidential_vote_results!$E9,presidential_vote_results!$F9,presidential_vote_results!$G9)</f>
        <v>133045</v>
      </c>
      <c r="I9" s="1">
        <v>207758</v>
      </c>
      <c r="J9">
        <f t="shared" si="0"/>
        <v>64.040000000000006</v>
      </c>
    </row>
    <row r="10" spans="1:10" x14ac:dyDescent="0.25">
      <c r="A10" t="s">
        <v>16</v>
      </c>
      <c r="B10" t="s">
        <v>17</v>
      </c>
      <c r="C10">
        <v>106256</v>
      </c>
      <c r="D10">
        <v>28349</v>
      </c>
      <c r="E10">
        <v>760</v>
      </c>
      <c r="F10">
        <v>674</v>
      </c>
      <c r="G10">
        <v>261</v>
      </c>
      <c r="H10">
        <f>SUM(presidential_vote_results!$C10,presidential_vote_results!$D10,presidential_vote_results!$E10,presidential_vote_results!$F10,presidential_vote_results!$G10)</f>
        <v>136300</v>
      </c>
      <c r="I10" s="1">
        <v>217030</v>
      </c>
      <c r="J10">
        <f t="shared" si="0"/>
        <v>62.8</v>
      </c>
    </row>
    <row r="11" spans="1:10" x14ac:dyDescent="0.25">
      <c r="A11" t="s">
        <v>18</v>
      </c>
      <c r="B11" t="s">
        <v>19</v>
      </c>
      <c r="C11">
        <v>55641</v>
      </c>
      <c r="D11">
        <v>58815</v>
      </c>
      <c r="E11">
        <v>474</v>
      </c>
      <c r="F11">
        <v>303</v>
      </c>
      <c r="G11">
        <v>144</v>
      </c>
      <c r="H11">
        <f>SUM(presidential_vote_results!$C11,presidential_vote_results!$D11,presidential_vote_results!$E11,presidential_vote_results!$F11,presidential_vote_results!$G11)</f>
        <v>115377</v>
      </c>
      <c r="I11" s="1">
        <v>166912</v>
      </c>
      <c r="J11">
        <f t="shared" si="0"/>
        <v>69.12</v>
      </c>
    </row>
    <row r="12" spans="1:10" x14ac:dyDescent="0.25">
      <c r="A12" t="s">
        <v>20</v>
      </c>
      <c r="B12" t="s">
        <v>21</v>
      </c>
      <c r="C12">
        <v>26436</v>
      </c>
      <c r="D12">
        <v>32300</v>
      </c>
      <c r="E12">
        <v>535</v>
      </c>
      <c r="F12">
        <v>173</v>
      </c>
      <c r="G12">
        <v>52</v>
      </c>
      <c r="H12">
        <f>SUM(presidential_vote_results!$C12,presidential_vote_results!$D12,presidential_vote_results!$E12,presidential_vote_results!$F12,presidential_vote_results!$G12)</f>
        <v>59496</v>
      </c>
      <c r="I12" s="1">
        <v>89504</v>
      </c>
      <c r="J12">
        <f t="shared" si="0"/>
        <v>66.47</v>
      </c>
    </row>
    <row r="13" spans="1:10" x14ac:dyDescent="0.25">
      <c r="A13" t="s">
        <v>22</v>
      </c>
      <c r="B13" t="s">
        <v>23</v>
      </c>
      <c r="C13">
        <v>79842</v>
      </c>
      <c r="D13">
        <v>369362</v>
      </c>
      <c r="E13">
        <v>4209</v>
      </c>
      <c r="F13">
        <v>2175</v>
      </c>
      <c r="G13">
        <v>1138</v>
      </c>
      <c r="H13">
        <f>SUM(presidential_vote_results!$C13,presidential_vote_results!$D13,presidential_vote_results!$E13,presidential_vote_results!$F13,presidential_vote_results!$G13)</f>
        <v>456726</v>
      </c>
      <c r="I13" s="1">
        <v>772139</v>
      </c>
      <c r="J13">
        <f t="shared" si="0"/>
        <v>59.15</v>
      </c>
    </row>
    <row r="14" spans="1:10" x14ac:dyDescent="0.25">
      <c r="A14" t="s">
        <v>24</v>
      </c>
      <c r="B14" t="s">
        <v>25</v>
      </c>
      <c r="C14">
        <v>15028</v>
      </c>
      <c r="D14">
        <v>144802</v>
      </c>
      <c r="E14">
        <v>971</v>
      </c>
      <c r="F14">
        <v>1142</v>
      </c>
      <c r="G14">
        <v>431</v>
      </c>
      <c r="H14">
        <f>SUM(presidential_vote_results!$C14,presidential_vote_results!$D14,presidential_vote_results!$E14,presidential_vote_results!$F14,presidential_vote_results!$G14)</f>
        <v>162374</v>
      </c>
      <c r="I14" s="1">
        <v>231932</v>
      </c>
      <c r="J14">
        <f t="shared" si="0"/>
        <v>70.010000000000005</v>
      </c>
    </row>
    <row r="15" spans="1:10" x14ac:dyDescent="0.25">
      <c r="A15" t="s">
        <v>26</v>
      </c>
      <c r="B15" t="s">
        <v>27</v>
      </c>
      <c r="C15">
        <v>31113</v>
      </c>
      <c r="D15">
        <v>187867</v>
      </c>
      <c r="E15">
        <v>1846</v>
      </c>
      <c r="F15">
        <v>1388</v>
      </c>
      <c r="G15">
        <v>525</v>
      </c>
      <c r="H15">
        <f>SUM(presidential_vote_results!$C15,presidential_vote_results!$D15,presidential_vote_results!$E15,presidential_vote_results!$F15,presidential_vote_results!$G15)</f>
        <v>222739</v>
      </c>
      <c r="I15" s="1">
        <v>334302</v>
      </c>
      <c r="J15">
        <f t="shared" si="0"/>
        <v>66.63</v>
      </c>
    </row>
    <row r="16" spans="1:10" x14ac:dyDescent="0.25">
      <c r="A16" t="s">
        <v>28</v>
      </c>
      <c r="B16" t="s">
        <v>29</v>
      </c>
      <c r="C16">
        <v>235400</v>
      </c>
      <c r="D16">
        <v>89419</v>
      </c>
      <c r="E16">
        <v>3306</v>
      </c>
      <c r="F16">
        <v>2838</v>
      </c>
      <c r="G16">
        <v>1446</v>
      </c>
      <c r="H16">
        <f>SUM(presidential_vote_results!$C16,presidential_vote_results!$D16,presidential_vote_results!$E16,presidential_vote_results!$F16,presidential_vote_results!$G16)</f>
        <v>332409</v>
      </c>
      <c r="I16" s="1">
        <v>532758</v>
      </c>
      <c r="J16">
        <f t="shared" si="0"/>
        <v>62.39</v>
      </c>
    </row>
    <row r="17" spans="1:10" x14ac:dyDescent="0.25">
      <c r="A17" t="s">
        <v>30</v>
      </c>
      <c r="B17" t="s">
        <v>31</v>
      </c>
      <c r="C17">
        <v>304809</v>
      </c>
      <c r="D17">
        <v>101446</v>
      </c>
      <c r="E17">
        <v>3759</v>
      </c>
      <c r="F17">
        <v>2703</v>
      </c>
      <c r="G17">
        <v>1270</v>
      </c>
      <c r="H17">
        <f>SUM(presidential_vote_results!$C17,presidential_vote_results!$D17,presidential_vote_results!$E17,presidential_vote_results!$F17,presidential_vote_results!$G17)</f>
        <v>413987</v>
      </c>
      <c r="I17" s="1">
        <v>687565</v>
      </c>
      <c r="J17">
        <f t="shared" si="0"/>
        <v>60.21</v>
      </c>
    </row>
    <row r="18" spans="1:10" x14ac:dyDescent="0.25">
      <c r="A18" t="s">
        <v>32</v>
      </c>
      <c r="B18" t="s">
        <v>33</v>
      </c>
      <c r="C18">
        <v>229172</v>
      </c>
      <c r="D18">
        <v>59295</v>
      </c>
      <c r="E18">
        <v>1905</v>
      </c>
      <c r="F18">
        <v>1850</v>
      </c>
      <c r="G18">
        <v>575</v>
      </c>
      <c r="H18">
        <f>SUM(presidential_vote_results!$C18,presidential_vote_results!$D18,presidential_vote_results!$E18,presidential_vote_results!$F18,presidential_vote_results!$G18)</f>
        <v>292797</v>
      </c>
      <c r="I18" s="1">
        <v>479401</v>
      </c>
      <c r="J18">
        <f t="shared" si="0"/>
        <v>61.08</v>
      </c>
    </row>
    <row r="19" spans="1:10" x14ac:dyDescent="0.25">
      <c r="A19" t="s">
        <v>34</v>
      </c>
      <c r="B19" t="s">
        <v>35</v>
      </c>
      <c r="C19">
        <v>49227</v>
      </c>
      <c r="D19">
        <v>189384</v>
      </c>
      <c r="E19">
        <v>1617</v>
      </c>
      <c r="F19">
        <v>1048</v>
      </c>
      <c r="G19">
        <v>820</v>
      </c>
      <c r="H19">
        <f>SUM(presidential_vote_results!$C19,presidential_vote_results!$D19,presidential_vote_results!$E19,presidential_vote_results!$F19,presidential_vote_results!$G19)</f>
        <v>242096</v>
      </c>
      <c r="I19" s="1">
        <v>361165</v>
      </c>
      <c r="J19">
        <f t="shared" si="0"/>
        <v>67.03</v>
      </c>
    </row>
    <row r="20" spans="1:10" x14ac:dyDescent="0.25">
      <c r="A20" t="s">
        <v>36</v>
      </c>
      <c r="B20" t="s">
        <v>37</v>
      </c>
      <c r="C20">
        <v>52043</v>
      </c>
      <c r="D20">
        <v>272507</v>
      </c>
      <c r="E20">
        <v>2276</v>
      </c>
      <c r="F20">
        <v>1344</v>
      </c>
      <c r="G20">
        <v>982</v>
      </c>
      <c r="H20">
        <f>SUM(presidential_vote_results!$C20,presidential_vote_results!$D20,presidential_vote_results!$E20,presidential_vote_results!$F20,presidential_vote_results!$G20)</f>
        <v>329152</v>
      </c>
      <c r="I20" s="1">
        <v>481632</v>
      </c>
      <c r="J20">
        <f t="shared" si="0"/>
        <v>68.34</v>
      </c>
    </row>
    <row r="21" spans="1:10" x14ac:dyDescent="0.25">
      <c r="A21" t="s">
        <v>38</v>
      </c>
      <c r="B21" t="s">
        <v>39</v>
      </c>
      <c r="C21">
        <v>37978</v>
      </c>
      <c r="D21">
        <v>220752</v>
      </c>
      <c r="E21">
        <v>1811</v>
      </c>
      <c r="F21">
        <v>1358</v>
      </c>
      <c r="G21">
        <v>645</v>
      </c>
      <c r="H21">
        <f>SUM(presidential_vote_results!$C21,presidential_vote_results!$D21,presidential_vote_results!$E21,presidential_vote_results!$F21,presidential_vote_results!$G21)</f>
        <v>262544</v>
      </c>
      <c r="I21" s="1">
        <v>376001</v>
      </c>
      <c r="J21">
        <f t="shared" si="0"/>
        <v>69.83</v>
      </c>
    </row>
    <row r="22" spans="1:10" x14ac:dyDescent="0.25">
      <c r="A22" t="s">
        <v>40</v>
      </c>
      <c r="B22" t="s">
        <v>41</v>
      </c>
      <c r="C22">
        <v>73539</v>
      </c>
      <c r="D22">
        <v>343421</v>
      </c>
      <c r="E22">
        <v>2564</v>
      </c>
      <c r="F22">
        <v>1942</v>
      </c>
      <c r="G22">
        <v>1532</v>
      </c>
      <c r="H22">
        <f>SUM(presidential_vote_results!$C22,presidential_vote_results!$D22,presidential_vote_results!$E22,presidential_vote_results!$F22,presidential_vote_results!$G22)</f>
        <v>422998</v>
      </c>
      <c r="I22" s="1">
        <v>620929</v>
      </c>
      <c r="J22">
        <f t="shared" si="0"/>
        <v>68.12</v>
      </c>
    </row>
    <row r="23" spans="1:10" x14ac:dyDescent="0.25">
      <c r="A23" t="s">
        <v>42</v>
      </c>
      <c r="B23" t="s">
        <v>43</v>
      </c>
      <c r="C23">
        <v>210493</v>
      </c>
      <c r="D23">
        <v>606105</v>
      </c>
      <c r="E23">
        <v>5565</v>
      </c>
      <c r="F23">
        <v>4410</v>
      </c>
      <c r="G23">
        <v>3804</v>
      </c>
      <c r="H23">
        <f>SUM(presidential_vote_results!$C23,presidential_vote_results!$D23,presidential_vote_results!$E23,presidential_vote_results!$F23,presidential_vote_results!$G23)</f>
        <v>830377</v>
      </c>
      <c r="I23" s="1">
        <v>1275008</v>
      </c>
      <c r="J23">
        <f t="shared" si="0"/>
        <v>65.13</v>
      </c>
    </row>
    <row r="24" spans="1:10" x14ac:dyDescent="0.25">
      <c r="A24" t="s">
        <v>44</v>
      </c>
      <c r="B24" t="s">
        <v>45</v>
      </c>
      <c r="C24">
        <v>95620</v>
      </c>
      <c r="D24">
        <v>46510</v>
      </c>
      <c r="E24">
        <v>1010</v>
      </c>
      <c r="F24">
        <v>434</v>
      </c>
      <c r="G24">
        <v>272</v>
      </c>
      <c r="H24">
        <f>SUM(presidential_vote_results!$C24,presidential_vote_results!$D24,presidential_vote_results!$E24,presidential_vote_results!$F24,presidential_vote_results!$G24)</f>
        <v>143846</v>
      </c>
      <c r="I24" s="1">
        <v>238528</v>
      </c>
      <c r="J24">
        <f t="shared" si="0"/>
        <v>60.31</v>
      </c>
    </row>
    <row r="25" spans="1:10" x14ac:dyDescent="0.25">
      <c r="A25" t="s">
        <v>46</v>
      </c>
      <c r="B25" t="s">
        <v>47</v>
      </c>
      <c r="C25">
        <v>63072</v>
      </c>
      <c r="D25">
        <v>109773</v>
      </c>
      <c r="E25">
        <v>1307</v>
      </c>
      <c r="F25">
        <v>373</v>
      </c>
      <c r="G25">
        <v>190</v>
      </c>
      <c r="H25">
        <f>SUM(presidential_vote_results!$C25,presidential_vote_results!$D25,presidential_vote_results!$E25,presidential_vote_results!$F25,presidential_vote_results!$G25)</f>
        <v>174715</v>
      </c>
      <c r="I25" s="1">
        <v>220026</v>
      </c>
      <c r="J25">
        <f t="shared" si="0"/>
        <v>79.41</v>
      </c>
    </row>
    <row r="26" spans="1:10" x14ac:dyDescent="0.25">
      <c r="A26" t="s">
        <v>48</v>
      </c>
      <c r="B26" t="s">
        <v>49</v>
      </c>
      <c r="C26">
        <v>41737</v>
      </c>
      <c r="D26">
        <v>28319</v>
      </c>
      <c r="E26">
        <v>335</v>
      </c>
      <c r="F26">
        <v>238</v>
      </c>
      <c r="G26">
        <v>62</v>
      </c>
      <c r="H26">
        <f>SUM(presidential_vote_results!$C26,presidential_vote_results!$D26,presidential_vote_results!$E26,presidential_vote_results!$F26,presidential_vote_results!$G26)</f>
        <v>70691</v>
      </c>
      <c r="I26" s="1">
        <v>100014</v>
      </c>
      <c r="J26">
        <f t="shared" si="0"/>
        <v>70.680000000000007</v>
      </c>
    </row>
    <row r="27" spans="1:10" x14ac:dyDescent="0.25">
      <c r="A27" t="s">
        <v>50</v>
      </c>
      <c r="B27" t="s">
        <v>51</v>
      </c>
      <c r="C27">
        <v>132404</v>
      </c>
      <c r="D27">
        <v>116732</v>
      </c>
      <c r="E27">
        <v>2457</v>
      </c>
      <c r="F27">
        <v>881</v>
      </c>
      <c r="G27">
        <v>414</v>
      </c>
      <c r="H27">
        <f>SUM(presidential_vote_results!$C27,presidential_vote_results!$D27,presidential_vote_results!$E27,presidential_vote_results!$F27,presidential_vote_results!$G27)</f>
        <v>252888</v>
      </c>
      <c r="I27" s="1">
        <v>398981</v>
      </c>
      <c r="J27">
        <f t="shared" si="0"/>
        <v>63.38</v>
      </c>
    </row>
    <row r="28" spans="1:10" x14ac:dyDescent="0.25">
      <c r="A28" t="s">
        <v>52</v>
      </c>
      <c r="B28" t="s">
        <v>53</v>
      </c>
      <c r="C28">
        <v>76032</v>
      </c>
      <c r="D28">
        <v>272862</v>
      </c>
      <c r="E28">
        <v>2050</v>
      </c>
      <c r="F28">
        <v>594</v>
      </c>
      <c r="G28">
        <v>391</v>
      </c>
      <c r="H28">
        <f>SUM(presidential_vote_results!$C28,presidential_vote_results!$D28,presidential_vote_results!$E28,presidential_vote_results!$F28,presidential_vote_results!$G28)</f>
        <v>351929</v>
      </c>
      <c r="I28" s="1">
        <v>506138</v>
      </c>
      <c r="J28">
        <f t="shared" si="0"/>
        <v>69.53</v>
      </c>
    </row>
    <row r="29" spans="1:10" x14ac:dyDescent="0.25">
      <c r="A29" t="s">
        <v>54</v>
      </c>
      <c r="B29" t="s">
        <v>107</v>
      </c>
      <c r="C29">
        <v>4902</v>
      </c>
      <c r="D29">
        <v>160090</v>
      </c>
      <c r="E29">
        <v>1264</v>
      </c>
      <c r="F29">
        <v>176</v>
      </c>
      <c r="G29">
        <v>122</v>
      </c>
      <c r="H29">
        <f>SUM(presidential_vote_results!$C29,presidential_vote_results!$D29,presidential_vote_results!$E29,presidential_vote_results!$F29,presidential_vote_results!$G29)</f>
        <v>166554</v>
      </c>
      <c r="I29" s="1">
        <v>213884</v>
      </c>
      <c r="J29">
        <f t="shared" si="0"/>
        <v>77.87</v>
      </c>
    </row>
    <row r="30" spans="1:10" x14ac:dyDescent="0.25">
      <c r="A30" t="s">
        <v>55</v>
      </c>
      <c r="B30" t="s">
        <v>56</v>
      </c>
      <c r="C30">
        <v>25799</v>
      </c>
      <c r="D30">
        <v>280818</v>
      </c>
      <c r="E30">
        <v>1478</v>
      </c>
      <c r="F30">
        <v>445</v>
      </c>
      <c r="G30">
        <v>280</v>
      </c>
      <c r="H30">
        <f>SUM(presidential_vote_results!$C30,presidential_vote_results!$D30,presidential_vote_results!$E30,presidential_vote_results!$F30,presidential_vote_results!$G30)</f>
        <v>308820</v>
      </c>
      <c r="I30" s="1">
        <v>406288</v>
      </c>
      <c r="J30">
        <f t="shared" si="0"/>
        <v>76.010000000000005</v>
      </c>
    </row>
    <row r="31" spans="1:10" x14ac:dyDescent="0.25">
      <c r="A31" t="s">
        <v>57</v>
      </c>
      <c r="B31" t="s">
        <v>58</v>
      </c>
      <c r="C31">
        <v>41320</v>
      </c>
      <c r="D31">
        <v>174994</v>
      </c>
      <c r="E31">
        <v>1030</v>
      </c>
      <c r="F31">
        <v>476</v>
      </c>
      <c r="G31">
        <v>218</v>
      </c>
      <c r="H31">
        <f>SUM(presidential_vote_results!$C31,presidential_vote_results!$D31,presidential_vote_results!$E31,presidential_vote_results!$F31,presidential_vote_results!$G31)</f>
        <v>218038</v>
      </c>
      <c r="I31" s="1">
        <v>281053</v>
      </c>
      <c r="J31">
        <f t="shared" si="0"/>
        <v>77.58</v>
      </c>
    </row>
    <row r="32" spans="1:10" x14ac:dyDescent="0.25">
      <c r="A32" t="s">
        <v>59</v>
      </c>
      <c r="B32" t="s">
        <v>60</v>
      </c>
      <c r="C32">
        <v>48906</v>
      </c>
      <c r="D32">
        <v>118987</v>
      </c>
      <c r="E32">
        <v>1319</v>
      </c>
      <c r="F32">
        <v>604</v>
      </c>
      <c r="G32">
        <v>432</v>
      </c>
      <c r="H32">
        <f>SUM(presidential_vote_results!$C32,presidential_vote_results!$D32,presidential_vote_results!$E32,presidential_vote_results!$F32,presidential_vote_results!$G32)</f>
        <v>170248</v>
      </c>
      <c r="I32" s="1">
        <v>263012</v>
      </c>
      <c r="J32">
        <f t="shared" si="0"/>
        <v>64.73</v>
      </c>
    </row>
    <row r="33" spans="1:10" x14ac:dyDescent="0.25">
      <c r="A33" t="s">
        <v>61</v>
      </c>
      <c r="B33" t="s">
        <v>62</v>
      </c>
      <c r="C33">
        <v>226020</v>
      </c>
      <c r="D33">
        <v>455632</v>
      </c>
      <c r="E33">
        <v>5488</v>
      </c>
      <c r="F33">
        <v>2439</v>
      </c>
      <c r="G33">
        <v>1815</v>
      </c>
      <c r="H33">
        <f>SUM(presidential_vote_results!$C33,presidential_vote_results!$D33,presidential_vote_results!$E33,presidential_vote_results!$F33,presidential_vote_results!$G33)</f>
        <v>691394</v>
      </c>
      <c r="I33" s="1">
        <v>1054856</v>
      </c>
      <c r="J33">
        <f t="shared" si="0"/>
        <v>65.540000000000006</v>
      </c>
    </row>
    <row r="34" spans="1:10" x14ac:dyDescent="0.25">
      <c r="A34" t="s">
        <v>63</v>
      </c>
      <c r="B34" t="s">
        <v>64</v>
      </c>
      <c r="C34">
        <v>102279</v>
      </c>
      <c r="D34">
        <v>92894</v>
      </c>
      <c r="E34">
        <v>954</v>
      </c>
      <c r="F34">
        <v>322</v>
      </c>
      <c r="G34">
        <v>179</v>
      </c>
      <c r="H34">
        <f>SUM(presidential_vote_results!$C34,presidential_vote_results!$D34,presidential_vote_results!$E34,presidential_vote_results!$F34,presidential_vote_results!$G34)</f>
        <v>196628</v>
      </c>
      <c r="I34" s="1">
        <v>398784</v>
      </c>
      <c r="J34">
        <f t="shared" si="0"/>
        <v>49.31</v>
      </c>
    </row>
    <row r="35" spans="1:10" x14ac:dyDescent="0.25">
      <c r="A35" t="s">
        <v>65</v>
      </c>
      <c r="B35" t="s">
        <v>66</v>
      </c>
      <c r="C35">
        <v>158526</v>
      </c>
      <c r="D35">
        <v>148439</v>
      </c>
      <c r="E35">
        <v>1251</v>
      </c>
      <c r="F35">
        <v>932</v>
      </c>
      <c r="G35">
        <v>688</v>
      </c>
      <c r="H35">
        <f>SUM(presidential_vote_results!$C35,presidential_vote_results!$D35,presidential_vote_results!$E35,presidential_vote_results!$F35,presidential_vote_results!$G35)</f>
        <v>309836</v>
      </c>
      <c r="I35" s="1">
        <v>463273</v>
      </c>
      <c r="J35">
        <f t="shared" si="0"/>
        <v>66.88</v>
      </c>
    </row>
    <row r="36" spans="1:10" x14ac:dyDescent="0.25">
      <c r="A36" t="s">
        <v>67</v>
      </c>
      <c r="B36" t="s">
        <v>68</v>
      </c>
      <c r="C36">
        <v>15053</v>
      </c>
      <c r="D36">
        <v>318861</v>
      </c>
      <c r="E36">
        <v>1819</v>
      </c>
      <c r="F36">
        <v>394</v>
      </c>
      <c r="G36">
        <v>207</v>
      </c>
      <c r="H36">
        <f>SUM(presidential_vote_results!$C36,presidential_vote_results!$D36,presidential_vote_results!$E36,presidential_vote_results!$F36,presidential_vote_results!$G36)</f>
        <v>336334</v>
      </c>
      <c r="I36" s="1">
        <v>428067</v>
      </c>
      <c r="J36">
        <f t="shared" si="0"/>
        <v>78.569999999999993</v>
      </c>
    </row>
    <row r="37" spans="1:10" x14ac:dyDescent="0.25">
      <c r="A37" t="s">
        <v>69</v>
      </c>
      <c r="B37" t="s">
        <v>70</v>
      </c>
      <c r="C37">
        <v>13383</v>
      </c>
      <c r="D37">
        <v>285428</v>
      </c>
      <c r="E37">
        <v>1545</v>
      </c>
      <c r="F37">
        <v>561</v>
      </c>
      <c r="G37">
        <v>234</v>
      </c>
      <c r="H37">
        <f>SUM(presidential_vote_results!$C37,presidential_vote_results!$D37,presidential_vote_results!$E37,presidential_vote_results!$F37,presidential_vote_results!$G37)</f>
        <v>301151</v>
      </c>
      <c r="I37" s="1">
        <v>376985</v>
      </c>
      <c r="J37">
        <f t="shared" si="0"/>
        <v>79.88</v>
      </c>
    </row>
    <row r="38" spans="1:10" x14ac:dyDescent="0.25">
      <c r="A38" t="s">
        <v>71</v>
      </c>
      <c r="B38" t="s">
        <v>72</v>
      </c>
      <c r="C38">
        <v>357825</v>
      </c>
      <c r="D38">
        <v>140626</v>
      </c>
      <c r="E38">
        <v>5545</v>
      </c>
      <c r="F38">
        <v>3270</v>
      </c>
      <c r="G38">
        <v>1405</v>
      </c>
      <c r="H38">
        <f>SUM(presidential_vote_results!$C38,presidential_vote_results!$D38,presidential_vote_results!$E38,presidential_vote_results!$F38,presidential_vote_results!$G38)</f>
        <v>508671</v>
      </c>
      <c r="I38" s="1">
        <v>844551</v>
      </c>
      <c r="J38">
        <f t="shared" si="0"/>
        <v>60.23</v>
      </c>
    </row>
    <row r="39" spans="1:10" x14ac:dyDescent="0.25">
      <c r="A39" t="s">
        <v>73</v>
      </c>
      <c r="B39" t="s">
        <v>74</v>
      </c>
      <c r="C39">
        <v>114714</v>
      </c>
      <c r="D39">
        <v>67633</v>
      </c>
      <c r="E39">
        <v>2101</v>
      </c>
      <c r="F39">
        <v>1463</v>
      </c>
      <c r="G39">
        <v>515</v>
      </c>
      <c r="H39">
        <f>SUM(presidential_vote_results!$C39,presidential_vote_results!$D39,presidential_vote_results!$E39,presidential_vote_results!$F39,presidential_vote_results!$G39)</f>
        <v>186426</v>
      </c>
      <c r="I39" s="1">
        <v>310043</v>
      </c>
      <c r="J39">
        <f t="shared" si="0"/>
        <v>60.13</v>
      </c>
    </row>
    <row r="40" spans="1:10" x14ac:dyDescent="0.25">
      <c r="A40" t="s">
        <v>75</v>
      </c>
      <c r="B40" t="s">
        <v>76</v>
      </c>
      <c r="C40">
        <v>145106</v>
      </c>
      <c r="D40">
        <v>255755</v>
      </c>
      <c r="E40">
        <v>5605</v>
      </c>
      <c r="F40">
        <v>2382</v>
      </c>
      <c r="G40">
        <v>1581</v>
      </c>
      <c r="H40">
        <f>SUM(presidential_vote_results!$C40,presidential_vote_results!$D40,presidential_vote_results!$E40,presidential_vote_results!$F40,presidential_vote_results!$G40)</f>
        <v>410429</v>
      </c>
      <c r="I40" s="1">
        <v>646598</v>
      </c>
      <c r="J40">
        <f t="shared" si="0"/>
        <v>63.48</v>
      </c>
    </row>
    <row r="41" spans="1:10" x14ac:dyDescent="0.25">
      <c r="A41" t="s">
        <v>77</v>
      </c>
      <c r="B41" t="s">
        <v>78</v>
      </c>
      <c r="C41">
        <v>226317</v>
      </c>
      <c r="D41">
        <v>48827</v>
      </c>
      <c r="E41">
        <v>2791</v>
      </c>
      <c r="F41">
        <v>1406</v>
      </c>
      <c r="G41">
        <v>474</v>
      </c>
      <c r="H41">
        <f>SUM(presidential_vote_results!$C41,presidential_vote_results!$D41,presidential_vote_results!$E41,presidential_vote_results!$F41,presidential_vote_results!$G41)</f>
        <v>279815</v>
      </c>
      <c r="I41" s="1">
        <v>416756</v>
      </c>
      <c r="J41">
        <f t="shared" si="0"/>
        <v>67.14</v>
      </c>
    </row>
    <row r="42" spans="1:10" x14ac:dyDescent="0.25">
      <c r="A42" t="s">
        <v>79</v>
      </c>
      <c r="B42" t="s">
        <v>80</v>
      </c>
      <c r="C42">
        <v>371201</v>
      </c>
      <c r="D42">
        <v>4307</v>
      </c>
      <c r="E42">
        <v>1869</v>
      </c>
      <c r="F42">
        <v>735</v>
      </c>
      <c r="G42">
        <v>209</v>
      </c>
      <c r="H42">
        <f>SUM(presidential_vote_results!$C42,presidential_vote_results!$D42,presidential_vote_results!$E42,presidential_vote_results!$F42,presidential_vote_results!$G42)</f>
        <v>378321</v>
      </c>
      <c r="I42" s="1">
        <v>533595</v>
      </c>
      <c r="J42">
        <f t="shared" si="0"/>
        <v>70.900000000000006</v>
      </c>
    </row>
    <row r="43" spans="1:10" x14ac:dyDescent="0.25">
      <c r="A43" t="s">
        <v>81</v>
      </c>
      <c r="B43" t="s">
        <v>82</v>
      </c>
      <c r="C43">
        <v>419562</v>
      </c>
      <c r="D43">
        <v>10010</v>
      </c>
      <c r="E43">
        <v>2554</v>
      </c>
      <c r="F43">
        <v>773</v>
      </c>
      <c r="G43">
        <v>256</v>
      </c>
      <c r="H43">
        <f>SUM(presidential_vote_results!$C43,presidential_vote_results!$D43,presidential_vote_results!$E43,presidential_vote_results!$F43,presidential_vote_results!$G43)</f>
        <v>433155</v>
      </c>
      <c r="I43" s="1">
        <v>606754</v>
      </c>
      <c r="J43">
        <f t="shared" si="0"/>
        <v>71.39</v>
      </c>
    </row>
    <row r="44" spans="1:10" x14ac:dyDescent="0.25">
      <c r="A44" t="s">
        <v>83</v>
      </c>
      <c r="B44" t="s">
        <v>84</v>
      </c>
      <c r="C44">
        <v>399813</v>
      </c>
      <c r="D44">
        <v>3487</v>
      </c>
      <c r="E44">
        <v>2009</v>
      </c>
      <c r="F44">
        <v>705</v>
      </c>
      <c r="G44">
        <v>124</v>
      </c>
      <c r="H44">
        <f>SUM(presidential_vote_results!$C44,presidential_vote_results!$D44,presidential_vote_results!$E44,presidential_vote_results!$F44,presidential_vote_results!$G44)</f>
        <v>406138</v>
      </c>
      <c r="I44" s="1">
        <v>551071</v>
      </c>
      <c r="J44">
        <f t="shared" si="0"/>
        <v>73.7</v>
      </c>
    </row>
    <row r="45" spans="1:10" x14ac:dyDescent="0.25">
      <c r="A45" t="s">
        <v>85</v>
      </c>
      <c r="B45" t="s">
        <v>86</v>
      </c>
      <c r="C45">
        <v>294034</v>
      </c>
      <c r="D45">
        <v>52619</v>
      </c>
      <c r="E45">
        <v>1500</v>
      </c>
      <c r="F45">
        <v>772</v>
      </c>
      <c r="G45">
        <v>293</v>
      </c>
      <c r="H45">
        <f>SUM(presidential_vote_results!$C45,presidential_vote_results!$D45,presidential_vote_results!$E45,presidential_vote_results!$F45,presidential_vote_results!$G45)</f>
        <v>349218</v>
      </c>
      <c r="I45" s="1">
        <v>469019</v>
      </c>
      <c r="J45">
        <f t="shared" si="0"/>
        <v>74.459999999999994</v>
      </c>
    </row>
    <row r="46" spans="1:10" x14ac:dyDescent="0.25">
      <c r="A46" t="s">
        <v>87</v>
      </c>
      <c r="B46" t="s">
        <v>88</v>
      </c>
      <c r="C46">
        <v>264988</v>
      </c>
      <c r="D46">
        <v>135140</v>
      </c>
      <c r="E46">
        <v>4189</v>
      </c>
      <c r="F46">
        <v>1683</v>
      </c>
      <c r="G46">
        <v>751</v>
      </c>
      <c r="H46">
        <f>SUM(presidential_vote_results!$C46,presidential_vote_results!$D46,presidential_vote_results!$E46,presidential_vote_results!$F46,presidential_vote_results!$G46)</f>
        <v>406751</v>
      </c>
      <c r="I46" s="1">
        <v>637010</v>
      </c>
      <c r="J46">
        <f t="shared" si="0"/>
        <v>63.85</v>
      </c>
    </row>
    <row r="47" spans="1:10" x14ac:dyDescent="0.25">
      <c r="A47" t="s">
        <v>89</v>
      </c>
      <c r="B47" t="s">
        <v>90</v>
      </c>
      <c r="C47">
        <v>104477</v>
      </c>
      <c r="D47">
        <v>63645</v>
      </c>
      <c r="E47">
        <v>1615</v>
      </c>
      <c r="F47">
        <v>687</v>
      </c>
      <c r="G47">
        <v>285</v>
      </c>
      <c r="H47">
        <f>SUM(presidential_vote_results!$C47,presidential_vote_results!$D47,presidential_vote_results!$E47,presidential_vote_results!$F47,presidential_vote_results!$G47)</f>
        <v>170709</v>
      </c>
      <c r="I47" s="1">
        <v>323283</v>
      </c>
      <c r="J47">
        <f t="shared" si="0"/>
        <v>52.8</v>
      </c>
    </row>
    <row r="48" spans="1:10" x14ac:dyDescent="0.25">
      <c r="A48" t="s">
        <v>91</v>
      </c>
      <c r="B48" t="s">
        <v>92</v>
      </c>
      <c r="C48">
        <v>721211</v>
      </c>
      <c r="D48">
        <v>518596</v>
      </c>
      <c r="E48">
        <v>12027</v>
      </c>
      <c r="F48">
        <v>5518</v>
      </c>
      <c r="G48">
        <v>4307</v>
      </c>
      <c r="H48">
        <f>SUM(presidential_vote_results!$C48,presidential_vote_results!$D48,presidential_vote_results!$E48,presidential_vote_results!$F48,presidential_vote_results!$G48)</f>
        <v>1261659</v>
      </c>
      <c r="I48" s="1">
        <v>2415310</v>
      </c>
      <c r="J48">
        <f t="shared" si="0"/>
        <v>52.24</v>
      </c>
    </row>
    <row r="49" spans="1:10" x14ac:dyDescent="0.25">
      <c r="A49" t="str">
        <f>TEXT("048","000")</f>
        <v>048</v>
      </c>
      <c r="B49" t="s">
        <v>114</v>
      </c>
      <c r="C49" s="1">
        <v>3727</v>
      </c>
      <c r="D49" s="1">
        <v>2190</v>
      </c>
      <c r="E49">
        <v>44</v>
      </c>
      <c r="F49">
        <v>40</v>
      </c>
      <c r="G49">
        <v>31</v>
      </c>
      <c r="H49" s="1">
        <f>SUM(presidential_vote_results!$C49,presidential_vote_results!$D49,presidential_vote_results!$E49,presidential_vote_results!$F49,presidential_vote_results!$G49)</f>
        <v>6032</v>
      </c>
      <c r="I49" s="1">
        <v>10443</v>
      </c>
      <c r="J49">
        <f t="shared" si="0"/>
        <v>57.76</v>
      </c>
    </row>
    <row r="50" spans="1:10" x14ac:dyDescent="0.25">
      <c r="A50" t="str">
        <f>TEXT("049","000")</f>
        <v>049</v>
      </c>
      <c r="B50" t="s">
        <v>115</v>
      </c>
      <c r="C50" t="s">
        <v>116</v>
      </c>
      <c r="D50" t="s">
        <v>116</v>
      </c>
      <c r="E50" t="s">
        <v>116</v>
      </c>
      <c r="F50" t="s">
        <v>116</v>
      </c>
      <c r="G50" t="s">
        <v>116</v>
      </c>
      <c r="H50" t="s">
        <v>116</v>
      </c>
      <c r="I50" s="1">
        <v>7483</v>
      </c>
      <c r="J50" t="e">
        <f t="shared" si="0"/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319A-F189-410F-95C5-74705A009202}">
  <dimension ref="A1:F50"/>
  <sheetViews>
    <sheetView workbookViewId="0">
      <selection sqref="A1:F1"/>
    </sheetView>
  </sheetViews>
  <sheetFormatPr defaultRowHeight="15.75" x14ac:dyDescent="0.25"/>
  <cols>
    <col min="1" max="1" width="11.625" bestFit="1" customWidth="1"/>
    <col min="2" max="2" width="14.25" bestFit="1" customWidth="1"/>
    <col min="3" max="3" width="10.125" bestFit="1" customWidth="1"/>
    <col min="4" max="4" width="11.875" bestFit="1" customWidth="1"/>
    <col min="5" max="5" width="12.5" bestFit="1" customWidth="1"/>
    <col min="6" max="6" width="14.75" bestFit="1" customWidth="1"/>
  </cols>
  <sheetData>
    <row r="1" spans="1:6" x14ac:dyDescent="0.25">
      <c r="A1" t="s">
        <v>97</v>
      </c>
      <c r="B1" t="s">
        <v>101</v>
      </c>
      <c r="C1" t="s">
        <v>108</v>
      </c>
      <c r="D1" t="s">
        <v>109</v>
      </c>
      <c r="E1" t="s">
        <v>110</v>
      </c>
      <c r="F1" t="s">
        <v>111</v>
      </c>
    </row>
    <row r="2" spans="1:6" x14ac:dyDescent="0.25">
      <c r="A2" t="s">
        <v>0</v>
      </c>
      <c r="B2" t="s">
        <v>1</v>
      </c>
      <c r="C2">
        <v>610257</v>
      </c>
      <c r="D2">
        <v>598046</v>
      </c>
      <c r="E2">
        <v>30</v>
      </c>
      <c r="F2">
        <v>1208333</v>
      </c>
    </row>
    <row r="3" spans="1:6" x14ac:dyDescent="0.25">
      <c r="A3" t="s">
        <v>2</v>
      </c>
      <c r="B3" t="s">
        <v>3</v>
      </c>
      <c r="C3">
        <v>425121</v>
      </c>
      <c r="D3">
        <v>441681</v>
      </c>
      <c r="E3">
        <v>18</v>
      </c>
      <c r="F3">
        <v>866820</v>
      </c>
    </row>
    <row r="4" spans="1:6" x14ac:dyDescent="0.25">
      <c r="A4" t="s">
        <v>4</v>
      </c>
      <c r="B4" t="s">
        <v>5</v>
      </c>
      <c r="C4">
        <v>704089</v>
      </c>
      <c r="D4">
        <v>749673</v>
      </c>
      <c r="E4">
        <v>25</v>
      </c>
      <c r="F4">
        <v>1453787</v>
      </c>
    </row>
    <row r="5" spans="1:6" x14ac:dyDescent="0.25">
      <c r="A5" t="s">
        <v>6</v>
      </c>
      <c r="B5" t="s">
        <v>7</v>
      </c>
      <c r="C5">
        <v>158550</v>
      </c>
      <c r="D5">
        <v>157391</v>
      </c>
      <c r="E5">
        <v>2</v>
      </c>
      <c r="F5">
        <v>315943</v>
      </c>
    </row>
    <row r="6" spans="1:6" x14ac:dyDescent="0.25">
      <c r="A6" t="s">
        <v>8</v>
      </c>
      <c r="B6" t="s">
        <v>9</v>
      </c>
      <c r="C6">
        <v>76103</v>
      </c>
      <c r="D6">
        <v>67813</v>
      </c>
      <c r="E6">
        <v>4</v>
      </c>
      <c r="F6">
        <v>143920</v>
      </c>
    </row>
    <row r="7" spans="1:6" x14ac:dyDescent="0.25">
      <c r="A7" t="s">
        <v>10</v>
      </c>
      <c r="B7" t="s">
        <v>11</v>
      </c>
      <c r="C7">
        <v>173337</v>
      </c>
      <c r="D7">
        <v>167327</v>
      </c>
      <c r="E7">
        <v>7</v>
      </c>
      <c r="F7">
        <v>340671</v>
      </c>
    </row>
    <row r="8" spans="1:6" x14ac:dyDescent="0.25">
      <c r="A8" t="s">
        <v>12</v>
      </c>
      <c r="B8" t="s">
        <v>13</v>
      </c>
      <c r="C8">
        <v>458975</v>
      </c>
      <c r="D8">
        <v>382344</v>
      </c>
      <c r="E8">
        <v>34</v>
      </c>
      <c r="F8">
        <v>841353</v>
      </c>
    </row>
    <row r="9" spans="1:6" x14ac:dyDescent="0.25">
      <c r="A9" t="s">
        <v>14</v>
      </c>
      <c r="B9" t="s">
        <v>15</v>
      </c>
      <c r="C9">
        <v>415374</v>
      </c>
      <c r="D9">
        <v>365840</v>
      </c>
      <c r="E9">
        <v>49</v>
      </c>
      <c r="F9">
        <v>781263</v>
      </c>
    </row>
    <row r="10" spans="1:6" x14ac:dyDescent="0.25">
      <c r="A10" t="s">
        <v>16</v>
      </c>
      <c r="B10" t="s">
        <v>17</v>
      </c>
      <c r="C10">
        <v>434976</v>
      </c>
      <c r="D10">
        <v>432444</v>
      </c>
      <c r="E10">
        <v>37</v>
      </c>
      <c r="F10">
        <v>867457</v>
      </c>
    </row>
    <row r="11" spans="1:6" x14ac:dyDescent="0.25">
      <c r="A11" t="s">
        <v>18</v>
      </c>
      <c r="B11" t="s">
        <v>19</v>
      </c>
      <c r="C11">
        <v>243548</v>
      </c>
      <c r="D11">
        <v>216219</v>
      </c>
      <c r="E11">
        <v>18</v>
      </c>
      <c r="F11">
        <v>459785</v>
      </c>
    </row>
    <row r="12" spans="1:6" x14ac:dyDescent="0.25">
      <c r="A12" t="s">
        <v>20</v>
      </c>
      <c r="B12" t="s">
        <v>21</v>
      </c>
      <c r="C12">
        <v>139510</v>
      </c>
      <c r="D12">
        <v>128483</v>
      </c>
      <c r="E12">
        <v>9</v>
      </c>
      <c r="F12">
        <v>268002</v>
      </c>
    </row>
    <row r="13" spans="1:6" x14ac:dyDescent="0.25">
      <c r="A13" t="s">
        <v>22</v>
      </c>
      <c r="B13" t="s">
        <v>23</v>
      </c>
      <c r="C13">
        <v>767698</v>
      </c>
      <c r="D13">
        <v>777975</v>
      </c>
      <c r="E13">
        <v>41</v>
      </c>
      <c r="F13">
        <v>1545714</v>
      </c>
    </row>
    <row r="14" spans="1:6" x14ac:dyDescent="0.25">
      <c r="A14" t="s">
        <v>24</v>
      </c>
      <c r="B14" t="s">
        <v>25</v>
      </c>
      <c r="C14">
        <v>193764</v>
      </c>
      <c r="D14">
        <v>199406</v>
      </c>
      <c r="E14">
        <v>7</v>
      </c>
      <c r="F14">
        <v>393177</v>
      </c>
    </row>
    <row r="15" spans="1:6" x14ac:dyDescent="0.25">
      <c r="A15" t="s">
        <v>26</v>
      </c>
      <c r="B15" t="s">
        <v>27</v>
      </c>
      <c r="C15">
        <v>304208</v>
      </c>
      <c r="D15">
        <v>304367</v>
      </c>
      <c r="E15">
        <v>24</v>
      </c>
      <c r="F15">
        <v>608599</v>
      </c>
    </row>
    <row r="16" spans="1:6" x14ac:dyDescent="0.25">
      <c r="A16" t="s">
        <v>28</v>
      </c>
      <c r="B16" t="s">
        <v>29</v>
      </c>
      <c r="C16">
        <v>549003</v>
      </c>
      <c r="D16">
        <v>587151</v>
      </c>
      <c r="E16">
        <v>33</v>
      </c>
      <c r="F16">
        <v>1136187</v>
      </c>
    </row>
    <row r="17" spans="1:6" x14ac:dyDescent="0.25">
      <c r="A17" t="s">
        <v>30</v>
      </c>
      <c r="B17" t="s">
        <v>31</v>
      </c>
      <c r="C17">
        <v>710707</v>
      </c>
      <c r="D17">
        <v>711191</v>
      </c>
      <c r="E17">
        <v>34</v>
      </c>
      <c r="F17">
        <v>1421932</v>
      </c>
    </row>
    <row r="18" spans="1:6" x14ac:dyDescent="0.25">
      <c r="A18" t="s">
        <v>32</v>
      </c>
      <c r="B18" t="s">
        <v>33</v>
      </c>
      <c r="C18">
        <v>489691</v>
      </c>
      <c r="D18">
        <v>497942</v>
      </c>
      <c r="E18">
        <v>20</v>
      </c>
      <c r="F18">
        <v>987653</v>
      </c>
    </row>
    <row r="19" spans="1:6" x14ac:dyDescent="0.25">
      <c r="A19" t="s">
        <v>34</v>
      </c>
      <c r="B19" t="s">
        <v>35</v>
      </c>
      <c r="C19">
        <v>315022</v>
      </c>
      <c r="D19">
        <v>323247</v>
      </c>
      <c r="E19">
        <v>20</v>
      </c>
      <c r="F19">
        <v>638289</v>
      </c>
    </row>
    <row r="20" spans="1:6" x14ac:dyDescent="0.25">
      <c r="A20" t="s">
        <v>36</v>
      </c>
      <c r="B20" t="s">
        <v>37</v>
      </c>
      <c r="C20">
        <v>374288</v>
      </c>
      <c r="D20">
        <v>384845</v>
      </c>
      <c r="E20">
        <v>31</v>
      </c>
      <c r="F20">
        <v>759164</v>
      </c>
    </row>
    <row r="21" spans="1:6" x14ac:dyDescent="0.25">
      <c r="A21" t="s">
        <v>38</v>
      </c>
      <c r="B21" t="s">
        <v>39</v>
      </c>
      <c r="C21">
        <v>302011</v>
      </c>
      <c r="D21">
        <v>308369</v>
      </c>
      <c r="E21">
        <v>31</v>
      </c>
      <c r="F21">
        <v>610411</v>
      </c>
    </row>
    <row r="22" spans="1:6" x14ac:dyDescent="0.25">
      <c r="A22" t="s">
        <v>40</v>
      </c>
      <c r="B22" t="s">
        <v>41</v>
      </c>
      <c r="C22">
        <v>523940</v>
      </c>
      <c r="D22">
        <v>532669</v>
      </c>
      <c r="E22">
        <v>31</v>
      </c>
      <c r="F22">
        <v>1056640</v>
      </c>
    </row>
    <row r="23" spans="1:6" x14ac:dyDescent="0.25">
      <c r="A23" t="s">
        <v>42</v>
      </c>
      <c r="B23" t="s">
        <v>43</v>
      </c>
      <c r="C23">
        <v>1187146</v>
      </c>
      <c r="D23">
        <v>1230454</v>
      </c>
      <c r="E23">
        <v>135</v>
      </c>
      <c r="F23">
        <v>2417735</v>
      </c>
    </row>
    <row r="24" spans="1:6" x14ac:dyDescent="0.25">
      <c r="A24" t="s">
        <v>44</v>
      </c>
      <c r="B24" t="s">
        <v>45</v>
      </c>
      <c r="C24">
        <v>478087</v>
      </c>
      <c r="D24">
        <v>448868</v>
      </c>
      <c r="E24">
        <v>21</v>
      </c>
      <c r="F24">
        <v>926976</v>
      </c>
    </row>
    <row r="25" spans="1:6" x14ac:dyDescent="0.25">
      <c r="A25" t="s">
        <v>46</v>
      </c>
      <c r="B25" t="s">
        <v>47</v>
      </c>
      <c r="C25">
        <v>307013</v>
      </c>
      <c r="D25">
        <v>314213</v>
      </c>
      <c r="E25">
        <v>15</v>
      </c>
      <c r="F25">
        <v>621241</v>
      </c>
    </row>
    <row r="26" spans="1:6" x14ac:dyDescent="0.25">
      <c r="A26" t="s">
        <v>48</v>
      </c>
      <c r="B26" t="s">
        <v>49</v>
      </c>
      <c r="C26">
        <v>156774</v>
      </c>
      <c r="D26">
        <v>153546</v>
      </c>
      <c r="E26">
        <v>7</v>
      </c>
      <c r="F26">
        <v>310327</v>
      </c>
    </row>
    <row r="27" spans="1:6" x14ac:dyDescent="0.25">
      <c r="A27" t="s">
        <v>50</v>
      </c>
      <c r="B27" t="s">
        <v>51</v>
      </c>
      <c r="C27">
        <v>489107</v>
      </c>
      <c r="D27">
        <v>501206</v>
      </c>
      <c r="E27">
        <v>28</v>
      </c>
      <c r="F27">
        <v>990341</v>
      </c>
    </row>
    <row r="28" spans="1:6" x14ac:dyDescent="0.25">
      <c r="A28" t="s">
        <v>52</v>
      </c>
      <c r="B28" t="s">
        <v>53</v>
      </c>
      <c r="C28">
        <v>580269</v>
      </c>
      <c r="D28">
        <v>582889</v>
      </c>
      <c r="E28">
        <v>28</v>
      </c>
      <c r="F28">
        <v>1163186</v>
      </c>
    </row>
    <row r="29" spans="1:6" x14ac:dyDescent="0.25">
      <c r="A29" t="s">
        <v>54</v>
      </c>
      <c r="B29" t="s">
        <v>107</v>
      </c>
      <c r="C29">
        <v>227317</v>
      </c>
      <c r="D29">
        <v>227151</v>
      </c>
      <c r="E29">
        <v>12</v>
      </c>
      <c r="F29">
        <v>454480</v>
      </c>
    </row>
    <row r="30" spans="1:6" x14ac:dyDescent="0.25">
      <c r="A30" t="s">
        <v>55</v>
      </c>
      <c r="B30" t="s">
        <v>56</v>
      </c>
      <c r="C30">
        <v>441259</v>
      </c>
      <c r="D30">
        <v>444430</v>
      </c>
      <c r="E30">
        <v>22</v>
      </c>
      <c r="F30">
        <v>885711</v>
      </c>
    </row>
    <row r="31" spans="1:6" x14ac:dyDescent="0.25">
      <c r="A31" t="s">
        <v>57</v>
      </c>
      <c r="B31" t="s">
        <v>58</v>
      </c>
      <c r="C31">
        <v>336322</v>
      </c>
      <c r="D31">
        <v>330428</v>
      </c>
      <c r="E31">
        <v>13</v>
      </c>
      <c r="F31">
        <v>666763</v>
      </c>
    </row>
    <row r="32" spans="1:6" x14ac:dyDescent="0.25">
      <c r="A32" t="s">
        <v>59</v>
      </c>
      <c r="B32" t="s">
        <v>60</v>
      </c>
      <c r="C32">
        <v>259440</v>
      </c>
      <c r="D32">
        <v>259102</v>
      </c>
      <c r="E32">
        <v>18</v>
      </c>
      <c r="F32">
        <v>518560</v>
      </c>
    </row>
    <row r="33" spans="1:6" x14ac:dyDescent="0.25">
      <c r="A33" t="s">
        <v>61</v>
      </c>
      <c r="B33" t="s">
        <v>62</v>
      </c>
      <c r="C33">
        <v>1077272</v>
      </c>
      <c r="D33">
        <v>1084835</v>
      </c>
      <c r="E33">
        <v>95</v>
      </c>
      <c r="F33">
        <v>2162202</v>
      </c>
    </row>
    <row r="34" spans="1:6" x14ac:dyDescent="0.25">
      <c r="A34" t="s">
        <v>63</v>
      </c>
      <c r="B34" t="s">
        <v>64</v>
      </c>
      <c r="C34">
        <v>579042</v>
      </c>
      <c r="D34">
        <v>578805</v>
      </c>
      <c r="E34">
        <v>26</v>
      </c>
      <c r="F34">
        <v>1157873</v>
      </c>
    </row>
    <row r="35" spans="1:6" x14ac:dyDescent="0.25">
      <c r="A35" t="s">
        <v>65</v>
      </c>
      <c r="B35" t="s">
        <v>66</v>
      </c>
      <c r="C35">
        <v>557098</v>
      </c>
      <c r="D35">
        <v>560704</v>
      </c>
      <c r="E35">
        <v>38</v>
      </c>
      <c r="F35">
        <v>1117840</v>
      </c>
    </row>
    <row r="36" spans="1:6" x14ac:dyDescent="0.25">
      <c r="A36" t="s">
        <v>67</v>
      </c>
      <c r="B36" t="s">
        <v>68</v>
      </c>
      <c r="C36">
        <v>450741</v>
      </c>
      <c r="D36">
        <v>451008</v>
      </c>
      <c r="E36">
        <v>28</v>
      </c>
      <c r="F36">
        <v>901777</v>
      </c>
    </row>
    <row r="37" spans="1:6" x14ac:dyDescent="0.25">
      <c r="A37" t="s">
        <v>69</v>
      </c>
      <c r="B37" t="s">
        <v>70</v>
      </c>
      <c r="C37">
        <v>434287</v>
      </c>
      <c r="D37">
        <v>441379</v>
      </c>
      <c r="E37">
        <v>23</v>
      </c>
      <c r="F37">
        <v>875689</v>
      </c>
    </row>
    <row r="38" spans="1:6" x14ac:dyDescent="0.25">
      <c r="A38" t="s">
        <v>71</v>
      </c>
      <c r="B38" t="s">
        <v>72</v>
      </c>
      <c r="C38">
        <v>897133</v>
      </c>
      <c r="D38">
        <v>970406</v>
      </c>
      <c r="E38">
        <v>40</v>
      </c>
      <c r="F38">
        <v>1867579</v>
      </c>
    </row>
    <row r="39" spans="1:6" x14ac:dyDescent="0.25">
      <c r="A39" t="s">
        <v>73</v>
      </c>
      <c r="B39" t="s">
        <v>74</v>
      </c>
      <c r="C39">
        <v>283678</v>
      </c>
      <c r="D39">
        <v>306323</v>
      </c>
      <c r="E39">
        <v>12</v>
      </c>
      <c r="F39">
        <v>590013</v>
      </c>
    </row>
    <row r="40" spans="1:6" x14ac:dyDescent="0.25">
      <c r="A40" t="s">
        <v>75</v>
      </c>
      <c r="B40" t="s">
        <v>76</v>
      </c>
      <c r="C40">
        <v>812146</v>
      </c>
      <c r="D40">
        <v>858389</v>
      </c>
      <c r="E40">
        <v>35</v>
      </c>
      <c r="F40">
        <v>1670570</v>
      </c>
    </row>
    <row r="41" spans="1:6" x14ac:dyDescent="0.25">
      <c r="A41" t="s">
        <v>77</v>
      </c>
      <c r="B41" t="s">
        <v>78</v>
      </c>
      <c r="C41">
        <v>426252</v>
      </c>
      <c r="D41">
        <v>467401</v>
      </c>
      <c r="E41">
        <v>28</v>
      </c>
      <c r="F41">
        <v>893681</v>
      </c>
    </row>
    <row r="42" spans="1:6" x14ac:dyDescent="0.25">
      <c r="A42" t="s">
        <v>79</v>
      </c>
      <c r="B42" t="s">
        <v>80</v>
      </c>
      <c r="C42">
        <v>471669</v>
      </c>
      <c r="D42">
        <v>521496</v>
      </c>
      <c r="E42">
        <v>18</v>
      </c>
      <c r="F42">
        <v>993183</v>
      </c>
    </row>
    <row r="43" spans="1:6" x14ac:dyDescent="0.25">
      <c r="A43" t="s">
        <v>81</v>
      </c>
      <c r="B43" t="s">
        <v>82</v>
      </c>
      <c r="C43">
        <v>560942</v>
      </c>
      <c r="D43">
        <v>594609</v>
      </c>
      <c r="E43">
        <v>23</v>
      </c>
      <c r="F43">
        <v>1155574</v>
      </c>
    </row>
    <row r="44" spans="1:6" x14ac:dyDescent="0.25">
      <c r="A44" t="s">
        <v>83</v>
      </c>
      <c r="B44" t="s">
        <v>84</v>
      </c>
      <c r="C44">
        <v>539560</v>
      </c>
      <c r="D44">
        <v>592367</v>
      </c>
      <c r="E44">
        <v>23</v>
      </c>
      <c r="F44">
        <v>1131950</v>
      </c>
    </row>
    <row r="45" spans="1:6" x14ac:dyDescent="0.25">
      <c r="A45" t="s">
        <v>85</v>
      </c>
      <c r="B45" t="s">
        <v>86</v>
      </c>
      <c r="C45">
        <v>536187</v>
      </c>
      <c r="D45">
        <v>580214</v>
      </c>
      <c r="E45">
        <v>35</v>
      </c>
      <c r="F45">
        <v>1116436</v>
      </c>
    </row>
    <row r="46" spans="1:6" x14ac:dyDescent="0.25">
      <c r="A46" t="s">
        <v>87</v>
      </c>
      <c r="B46" t="s">
        <v>88</v>
      </c>
      <c r="C46">
        <v>605784</v>
      </c>
      <c r="D46">
        <v>661038</v>
      </c>
      <c r="E46">
        <v>38</v>
      </c>
      <c r="F46">
        <v>1266860</v>
      </c>
    </row>
    <row r="47" spans="1:6" x14ac:dyDescent="0.25">
      <c r="A47" t="s">
        <v>89</v>
      </c>
      <c r="B47" t="s">
        <v>90</v>
      </c>
      <c r="C47">
        <v>290907</v>
      </c>
      <c r="D47">
        <v>314656</v>
      </c>
      <c r="E47">
        <v>13</v>
      </c>
      <c r="F47">
        <v>605576</v>
      </c>
    </row>
    <row r="48" spans="1:6" x14ac:dyDescent="0.25">
      <c r="A48" t="s">
        <v>91</v>
      </c>
      <c r="B48" t="s">
        <v>92</v>
      </c>
      <c r="C48">
        <v>2192452</v>
      </c>
      <c r="D48">
        <v>2204376</v>
      </c>
      <c r="E48">
        <v>245</v>
      </c>
      <c r="F48">
        <v>4397073</v>
      </c>
    </row>
    <row r="49" spans="1:6" x14ac:dyDescent="0.25">
      <c r="A49" t="str">
        <f>TEXT("048","000")</f>
        <v>048</v>
      </c>
      <c r="B49" t="s">
        <v>114</v>
      </c>
    </row>
    <row r="50" spans="1:6" x14ac:dyDescent="0.25">
      <c r="A50" t="str">
        <f>TEXT("049","000")</f>
        <v>049</v>
      </c>
      <c r="B50" t="s">
        <v>115</v>
      </c>
      <c r="C50" s="1">
        <v>57846</v>
      </c>
      <c r="D50" s="1">
        <v>2894</v>
      </c>
      <c r="E50" t="s">
        <v>116</v>
      </c>
      <c r="F50" s="1">
        <v>60740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8305B-2E38-454C-BFD9-38DD05B6B0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counties</vt:lpstr>
      <vt:lpstr>Registered_Voters_by_Gender</vt:lpstr>
      <vt:lpstr>REGISTERED_VOTERS_BY_AGE</vt:lpstr>
      <vt:lpstr>presidential_vote_results</vt:lpstr>
      <vt:lpstr>Population_Per_County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Wakonyo</dc:creator>
  <cp:lastModifiedBy>Beatrice Wakonyo</cp:lastModifiedBy>
  <dcterms:created xsi:type="dcterms:W3CDTF">2026-10-21T11:59:24Z</dcterms:created>
  <dcterms:modified xsi:type="dcterms:W3CDTF">2026-10-28T00:57:20Z</dcterms:modified>
</cp:coreProperties>
</file>